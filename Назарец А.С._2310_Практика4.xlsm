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Desktop\МСР\"/>
    </mc:Choice>
  </mc:AlternateContent>
  <bookViews>
    <workbookView xWindow="0" yWindow="0" windowWidth="13770" windowHeight="9405"/>
  </bookViews>
  <sheets>
    <sheet name="Неявная схема_2" sheetId="1" r:id="rId1"/>
    <sheet name="Неявная схема_1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1" i="2" l="1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0" i="2"/>
  <c r="AJ15" i="2"/>
  <c r="AJ13" i="2"/>
  <c r="F13" i="2"/>
  <c r="F21" i="2" s="1"/>
  <c r="C4" i="2"/>
  <c r="C18" i="2" s="1"/>
  <c r="C17" i="2" l="1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EA92" i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CX91" i="1"/>
  <c r="CX90" i="1" s="1"/>
  <c r="CX89" i="1" s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CX64" i="1" s="1"/>
  <c r="CX92" i="1"/>
  <c r="BV92" i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V64" i="1" s="1"/>
  <c r="BY92" i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BY67" i="1" s="1"/>
  <c r="BY66" i="1" s="1"/>
  <c r="BY65" i="1" s="1"/>
  <c r="BY64" i="1" s="1"/>
  <c r="CD92" i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D64" i="1" s="1"/>
  <c r="CG92" i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G64" i="1" s="1"/>
  <c r="CL92" i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L64" i="1" s="1"/>
  <c r="CO92" i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O64" i="1" s="1"/>
  <c r="CT92" i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T64" i="1" s="1"/>
  <c r="BT92" i="1"/>
  <c r="BT91" i="1" s="1"/>
  <c r="BT90" i="1" s="1"/>
  <c r="BT89" i="1" s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BT64" i="1" s="1"/>
  <c r="BU92" i="1"/>
  <c r="BU91" i="1" s="1"/>
  <c r="BU90" i="1" s="1"/>
  <c r="BU89" i="1" s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BU66" i="1" s="1"/>
  <c r="BU65" i="1" s="1"/>
  <c r="BU64" i="1" s="1"/>
  <c r="BW92" i="1"/>
  <c r="BW91" i="1" s="1"/>
  <c r="BW90" i="1" s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BW67" i="1" s="1"/>
  <c r="BW66" i="1" s="1"/>
  <c r="BW65" i="1" s="1"/>
  <c r="BW64" i="1" s="1"/>
  <c r="BX92" i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X65" i="1" s="1"/>
  <c r="BX64" i="1" s="1"/>
  <c r="BZ92" i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Z66" i="1" s="1"/>
  <c r="BZ65" i="1" s="1"/>
  <c r="BZ64" i="1" s="1"/>
  <c r="CA92" i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A64" i="1" s="1"/>
  <c r="CB92" i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CB64" i="1" s="1"/>
  <c r="CC92" i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C66" i="1" s="1"/>
  <c r="CC65" i="1" s="1"/>
  <c r="CC64" i="1" s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CE64" i="1" s="1"/>
  <c r="CF92" i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F65" i="1" s="1"/>
  <c r="CF64" i="1" s="1"/>
  <c r="CH92" i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H66" i="1" s="1"/>
  <c r="CH65" i="1" s="1"/>
  <c r="CH64" i="1" s="1"/>
  <c r="CI92" i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I67" i="1" s="1"/>
  <c r="CI66" i="1" s="1"/>
  <c r="CI65" i="1" s="1"/>
  <c r="CI64" i="1" s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J64" i="1" s="1"/>
  <c r="CK92" i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CK67" i="1" s="1"/>
  <c r="CK66" i="1" s="1"/>
  <c r="CK65" i="1" s="1"/>
  <c r="CK64" i="1" s="1"/>
  <c r="CM92" i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M67" i="1" s="1"/>
  <c r="CM66" i="1" s="1"/>
  <c r="CM65" i="1" s="1"/>
  <c r="CM64" i="1" s="1"/>
  <c r="CN92" i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N65" i="1" s="1"/>
  <c r="CN64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P66" i="1" s="1"/>
  <c r="CP65" i="1" s="1"/>
  <c r="CP64" i="1" s="1"/>
  <c r="CQ92" i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Q64" i="1" s="1"/>
  <c r="CR92" i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R64" i="1" s="1"/>
  <c r="CS92" i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S67" i="1" s="1"/>
  <c r="CS66" i="1" s="1"/>
  <c r="CS65" i="1" s="1"/>
  <c r="CS64" i="1" s="1"/>
  <c r="CU92" i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U65" i="1" s="1"/>
  <c r="CU64" i="1" s="1"/>
  <c r="BR92" i="1"/>
  <c r="BO93" i="1"/>
  <c r="AL93" i="1"/>
  <c r="BO92" i="1"/>
  <c r="AL92" i="1"/>
  <c r="BO91" i="1"/>
  <c r="AL91" i="1"/>
  <c r="BO90" i="1"/>
  <c r="AL90" i="1"/>
  <c r="BO89" i="1"/>
  <c r="AL89" i="1"/>
  <c r="BO88" i="1"/>
  <c r="AL88" i="1"/>
  <c r="BO87" i="1"/>
  <c r="AL87" i="1"/>
  <c r="BO86" i="1"/>
  <c r="AL86" i="1"/>
  <c r="BO85" i="1"/>
  <c r="AL85" i="1"/>
  <c r="BO84" i="1"/>
  <c r="AL84" i="1"/>
  <c r="BO83" i="1"/>
  <c r="AL83" i="1"/>
  <c r="BO82" i="1"/>
  <c r="AL82" i="1"/>
  <c r="BO81" i="1"/>
  <c r="AL81" i="1"/>
  <c r="BO80" i="1"/>
  <c r="AL80" i="1"/>
  <c r="BO79" i="1"/>
  <c r="AL79" i="1"/>
  <c r="BO78" i="1"/>
  <c r="AL78" i="1"/>
  <c r="BO77" i="1"/>
  <c r="AL77" i="1"/>
  <c r="BO76" i="1"/>
  <c r="AL76" i="1"/>
  <c r="BO75" i="1"/>
  <c r="AL75" i="1"/>
  <c r="BO74" i="1"/>
  <c r="AL74" i="1"/>
  <c r="BO73" i="1"/>
  <c r="AL73" i="1"/>
  <c r="BO72" i="1"/>
  <c r="AL72" i="1"/>
  <c r="BO71" i="1"/>
  <c r="AL71" i="1"/>
  <c r="BO70" i="1"/>
  <c r="AL70" i="1"/>
  <c r="BO69" i="1"/>
  <c r="AL69" i="1"/>
  <c r="BO68" i="1"/>
  <c r="AL68" i="1"/>
  <c r="BO67" i="1"/>
  <c r="AL67" i="1"/>
  <c r="BO66" i="1"/>
  <c r="AL66" i="1"/>
  <c r="BO65" i="1"/>
  <c r="AL65" i="1"/>
  <c r="BO64" i="1"/>
  <c r="AL64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BT33" i="1"/>
  <c r="BU33" i="1" s="1"/>
  <c r="BV33" i="1" s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CL33" i="1" s="1"/>
  <c r="CM33" i="1" s="1"/>
  <c r="CN33" i="1" s="1"/>
  <c r="CO33" i="1" s="1"/>
  <c r="CP33" i="1" s="1"/>
  <c r="CQ33" i="1" s="1"/>
  <c r="CR33" i="1" s="1"/>
  <c r="CS33" i="1" s="1"/>
  <c r="BT34" i="1"/>
  <c r="BU34" i="1"/>
  <c r="BV34" i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J34" i="1" s="1"/>
  <c r="CK34" i="1" s="1"/>
  <c r="CL34" i="1" s="1"/>
  <c r="CM34" i="1" s="1"/>
  <c r="CN34" i="1" s="1"/>
  <c r="CO34" i="1" s="1"/>
  <c r="CP34" i="1" s="1"/>
  <c r="CQ34" i="1" s="1"/>
  <c r="CR34" i="1" s="1"/>
  <c r="CS34" i="1" s="1"/>
  <c r="BT35" i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 s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BT36" i="1"/>
  <c r="BU36" i="1"/>
  <c r="BV36" i="1"/>
  <c r="BW36" i="1" s="1"/>
  <c r="BX36" i="1" s="1"/>
  <c r="BY36" i="1" s="1"/>
  <c r="BZ36" i="1" s="1"/>
  <c r="CA36" i="1" s="1"/>
  <c r="CB36" i="1" s="1"/>
  <c r="CC36" i="1" s="1"/>
  <c r="CD36" i="1" s="1"/>
  <c r="CE36" i="1" s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BT37" i="1"/>
  <c r="BU37" i="1" s="1"/>
  <c r="BV37" i="1" s="1"/>
  <c r="BW37" i="1" s="1"/>
  <c r="BX37" i="1" s="1"/>
  <c r="BY37" i="1" s="1"/>
  <c r="BZ37" i="1"/>
  <c r="CA37" i="1" s="1"/>
  <c r="CB37" i="1" s="1"/>
  <c r="CC37" i="1" s="1"/>
  <c r="CD37" i="1" s="1"/>
  <c r="CE37" i="1" s="1"/>
  <c r="CF37" i="1" s="1"/>
  <c r="CG37" i="1" s="1"/>
  <c r="CH37" i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BT38" i="1"/>
  <c r="BU38" i="1"/>
  <c r="BV38" i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 s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BT40" i="1"/>
  <c r="BU40" i="1"/>
  <c r="BV40" i="1"/>
  <c r="BW40" i="1" s="1"/>
  <c r="BX40" i="1" s="1"/>
  <c r="BY40" i="1" s="1"/>
  <c r="BZ40" i="1" s="1"/>
  <c r="CA40" i="1" s="1"/>
  <c r="CB40" i="1" s="1"/>
  <c r="CC40" i="1" s="1"/>
  <c r="CD40" i="1"/>
  <c r="CE40" i="1" s="1"/>
  <c r="CF40" i="1" s="1"/>
  <c r="CG40" i="1" s="1"/>
  <c r="CH40" i="1" s="1"/>
  <c r="CI40" i="1" s="1"/>
  <c r="CJ40" i="1" s="1"/>
  <c r="CK40" i="1" s="1"/>
  <c r="CL40" i="1"/>
  <c r="CM40" i="1" s="1"/>
  <c r="CN40" i="1" s="1"/>
  <c r="CO40" i="1" s="1"/>
  <c r="CP40" i="1" s="1"/>
  <c r="CQ40" i="1" s="1"/>
  <c r="CR40" i="1" s="1"/>
  <c r="CS40" i="1" s="1"/>
  <c r="CT40" i="1" s="1"/>
  <c r="BT41" i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BT42" i="1"/>
  <c r="BU42" i="1" s="1"/>
  <c r="BV42" i="1"/>
  <c r="BW42" i="1" s="1"/>
  <c r="BX42" i="1" s="1"/>
  <c r="BY42" i="1" s="1"/>
  <c r="BZ42" i="1" s="1"/>
  <c r="CA42" i="1" s="1"/>
  <c r="CB42" i="1" s="1"/>
  <c r="CC42" i="1" s="1"/>
  <c r="CD42" i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BT43" i="1"/>
  <c r="BU43" i="1" s="1"/>
  <c r="BV43" i="1" s="1"/>
  <c r="BW43" i="1" s="1"/>
  <c r="BX43" i="1" s="1"/>
  <c r="BY43" i="1" s="1"/>
  <c r="BZ43" i="1"/>
  <c r="CA43" i="1" s="1"/>
  <c r="CB43" i="1" s="1"/>
  <c r="CC43" i="1" s="1"/>
  <c r="CD43" i="1" s="1"/>
  <c r="CE43" i="1" s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BT44" i="1"/>
  <c r="BU44" i="1" s="1"/>
  <c r="BV44" i="1"/>
  <c r="BW44" i="1" s="1"/>
  <c r="BX44" i="1" s="1"/>
  <c r="BY44" i="1" s="1"/>
  <c r="BZ44" i="1" s="1"/>
  <c r="CA44" i="1" s="1"/>
  <c r="CB44" i="1" s="1"/>
  <c r="CC44" i="1" s="1"/>
  <c r="CD44" i="1" s="1"/>
  <c r="CE44" i="1" s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BT45" i="1"/>
  <c r="BU45" i="1" s="1"/>
  <c r="BV45" i="1" s="1"/>
  <c r="BW45" i="1" s="1"/>
  <c r="BX45" i="1" s="1"/>
  <c r="BY45" i="1" s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BT46" i="1"/>
  <c r="BU46" i="1" s="1"/>
  <c r="BV46" i="1" s="1"/>
  <c r="BW46" i="1" s="1"/>
  <c r="BX46" i="1" s="1"/>
  <c r="BY46" i="1" s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 s="1"/>
  <c r="CP46" i="1" s="1"/>
  <c r="CQ46" i="1" s="1"/>
  <c r="CR46" i="1" s="1"/>
  <c r="CS46" i="1" s="1"/>
  <c r="BT47" i="1"/>
  <c r="BU47" i="1" s="1"/>
  <c r="BV47" i="1" s="1"/>
  <c r="BW47" i="1" s="1"/>
  <c r="BX47" i="1" s="1"/>
  <c r="BY47" i="1" s="1"/>
  <c r="BZ47" i="1"/>
  <c r="CA47" i="1" s="1"/>
  <c r="CB47" i="1" s="1"/>
  <c r="CC47" i="1" s="1"/>
  <c r="CD47" i="1" s="1"/>
  <c r="CE47" i="1" s="1"/>
  <c r="CF47" i="1" s="1"/>
  <c r="CG47" i="1" s="1"/>
  <c r="CH47" i="1"/>
  <c r="CI47" i="1" s="1"/>
  <c r="CJ47" i="1" s="1"/>
  <c r="CK47" i="1" s="1"/>
  <c r="CL47" i="1" s="1"/>
  <c r="CM47" i="1" s="1"/>
  <c r="CN47" i="1" s="1"/>
  <c r="CO47" i="1" s="1"/>
  <c r="CP47" i="1"/>
  <c r="CQ47" i="1" s="1"/>
  <c r="CR47" i="1" s="1"/>
  <c r="CS47" i="1" s="1"/>
  <c r="CT47" i="1" s="1"/>
  <c r="CU47" i="1" s="1"/>
  <c r="BT48" i="1"/>
  <c r="BU48" i="1" s="1"/>
  <c r="BV48" i="1"/>
  <c r="BW48" i="1" s="1"/>
  <c r="BX48" i="1" s="1"/>
  <c r="BY48" i="1" s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 s="1"/>
  <c r="CP48" i="1" s="1"/>
  <c r="CQ48" i="1" s="1"/>
  <c r="CR48" i="1" s="1"/>
  <c r="CS48" i="1" s="1"/>
  <c r="BT49" i="1"/>
  <c r="BU49" i="1" s="1"/>
  <c r="BV49" i="1" s="1"/>
  <c r="BW49" i="1" s="1"/>
  <c r="BX49" i="1" s="1"/>
  <c r="BY49" i="1" s="1"/>
  <c r="BZ49" i="1"/>
  <c r="CA49" i="1" s="1"/>
  <c r="CB49" i="1" s="1"/>
  <c r="CC49" i="1" s="1"/>
  <c r="CD49" i="1" s="1"/>
  <c r="CE49" i="1" s="1"/>
  <c r="CF49" i="1" s="1"/>
  <c r="CG49" i="1" s="1"/>
  <c r="CH49" i="1"/>
  <c r="CI49" i="1" s="1"/>
  <c r="CJ49" i="1" s="1"/>
  <c r="CK49" i="1" s="1"/>
  <c r="CL49" i="1" s="1"/>
  <c r="CM49" i="1" s="1"/>
  <c r="CN49" i="1" s="1"/>
  <c r="CO49" i="1" s="1"/>
  <c r="CP49" i="1" s="1"/>
  <c r="CQ49" i="1" s="1"/>
  <c r="CR49" i="1" s="1"/>
  <c r="CS49" i="1" s="1"/>
  <c r="BT50" i="1"/>
  <c r="BU50" i="1" s="1"/>
  <c r="BV50" i="1" s="1"/>
  <c r="BW50" i="1" s="1"/>
  <c r="BX50" i="1" s="1"/>
  <c r="BY50" i="1" s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 s="1"/>
  <c r="CP50" i="1" s="1"/>
  <c r="CQ50" i="1" s="1"/>
  <c r="CR50" i="1" s="1"/>
  <c r="CS50" i="1" s="1"/>
  <c r="BT51" i="1"/>
  <c r="BU51" i="1" s="1"/>
  <c r="BV51" i="1" s="1"/>
  <c r="BW51" i="1" s="1"/>
  <c r="BX51" i="1" s="1"/>
  <c r="BY51" i="1" s="1"/>
  <c r="BZ51" i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 s="1"/>
  <c r="CP51" i="1" s="1"/>
  <c r="CQ51" i="1" s="1"/>
  <c r="CR51" i="1" s="1"/>
  <c r="BT52" i="1"/>
  <c r="BU52" i="1" s="1"/>
  <c r="BV52" i="1"/>
  <c r="BW52" i="1" s="1"/>
  <c r="BX52" i="1" s="1"/>
  <c r="BY52" i="1" s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 s="1"/>
  <c r="BT53" i="1"/>
  <c r="BU53" i="1" s="1"/>
  <c r="BV53" i="1" s="1"/>
  <c r="BW53" i="1" s="1"/>
  <c r="BX53" i="1" s="1"/>
  <c r="BY53" i="1" s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BT54" i="1"/>
  <c r="BU54" i="1" s="1"/>
  <c r="BV54" i="1" s="1"/>
  <c r="BW54" i="1" s="1"/>
  <c r="BX54" i="1" s="1"/>
  <c r="BY54" i="1" s="1"/>
  <c r="BZ54" i="1" s="1"/>
  <c r="CA54" i="1" s="1"/>
  <c r="CB54" i="1" s="1"/>
  <c r="CC54" i="1" s="1"/>
  <c r="CD54" i="1" s="1"/>
  <c r="CE54" i="1" s="1"/>
  <c r="CF54" i="1" s="1"/>
  <c r="CG54" i="1" s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BT55" i="1"/>
  <c r="BU55" i="1" s="1"/>
  <c r="BV55" i="1" s="1"/>
  <c r="BW55" i="1" s="1"/>
  <c r="BX55" i="1" s="1"/>
  <c r="BY55" i="1" s="1"/>
  <c r="BZ55" i="1"/>
  <c r="CA55" i="1" s="1"/>
  <c r="CB55" i="1" s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BT56" i="1"/>
  <c r="BU56" i="1" s="1"/>
  <c r="BV56" i="1"/>
  <c r="BW56" i="1" s="1"/>
  <c r="BX56" i="1" s="1"/>
  <c r="BY56" i="1" s="1"/>
  <c r="BZ56" i="1" s="1"/>
  <c r="CA56" i="1" s="1"/>
  <c r="CB56" i="1" s="1"/>
  <c r="CC56" i="1" s="1"/>
  <c r="CD56" i="1"/>
  <c r="CE56" i="1" s="1"/>
  <c r="CF56" i="1" s="1"/>
  <c r="CG56" i="1" s="1"/>
  <c r="CH56" i="1" s="1"/>
  <c r="CI56" i="1" s="1"/>
  <c r="CJ56" i="1" s="1"/>
  <c r="CK56" i="1" s="1"/>
  <c r="CL56" i="1"/>
  <c r="CM56" i="1" s="1"/>
  <c r="CN56" i="1" s="1"/>
  <c r="CO56" i="1" s="1"/>
  <c r="CP56" i="1" s="1"/>
  <c r="CQ56" i="1" s="1"/>
  <c r="CR56" i="1" s="1"/>
  <c r="CS56" i="1" s="1"/>
  <c r="BT57" i="1"/>
  <c r="BU57" i="1" s="1"/>
  <c r="BV57" i="1" s="1"/>
  <c r="BW57" i="1" s="1"/>
  <c r="BX57" i="1" s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BT58" i="1"/>
  <c r="BU58" i="1"/>
  <c r="BV58" i="1" s="1"/>
  <c r="BW58" i="1" s="1"/>
  <c r="BX58" i="1" s="1"/>
  <c r="BY58" i="1" s="1"/>
  <c r="BZ58" i="1" s="1"/>
  <c r="CA58" i="1" s="1"/>
  <c r="CB58" i="1" s="1"/>
  <c r="CC58" i="1" s="1"/>
  <c r="CD58" i="1" s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BT59" i="1"/>
  <c r="BU59" i="1"/>
  <c r="BV59" i="1" s="1"/>
  <c r="BW59" i="1" s="1"/>
  <c r="BX59" i="1" s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BT60" i="1"/>
  <c r="BU60" i="1"/>
  <c r="BV60" i="1" s="1"/>
  <c r="BW60" i="1" s="1"/>
  <c r="BX60" i="1" s="1"/>
  <c r="BY60" i="1" s="1"/>
  <c r="BZ60" i="1" s="1"/>
  <c r="CA60" i="1" s="1"/>
  <c r="CB60" i="1" s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BT61" i="1"/>
  <c r="BU61" i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BT62" i="1"/>
  <c r="BU62" i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AM34" i="1"/>
  <c r="CY34" i="1" s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AM35" i="1"/>
  <c r="CY35" i="1" s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AM36" i="1"/>
  <c r="CY36" i="1" s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AM37" i="1"/>
  <c r="CY37" i="1" s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AM42" i="1"/>
  <c r="CY42" i="1" s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AM43" i="1"/>
  <c r="CY43" i="1" s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AM44" i="1"/>
  <c r="CY44" i="1" s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AM45" i="1"/>
  <c r="CY45" i="1" s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AM46" i="1"/>
  <c r="CY46" i="1" s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AM49" i="1"/>
  <c r="CY49" i="1" s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AM50" i="1"/>
  <c r="CY50" i="1" s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AM51" i="1"/>
  <c r="CY51" i="1" s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AM52" i="1"/>
  <c r="CY52" i="1" s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AM53" i="1"/>
  <c r="CY53" i="1" s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AM54" i="1"/>
  <c r="CY54" i="1" s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AM57" i="1"/>
  <c r="CY57" i="1" s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AM58" i="1"/>
  <c r="CY58" i="1" s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AM59" i="1"/>
  <c r="CY59" i="1" s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AM60" i="1"/>
  <c r="CY60" i="1" s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AM61" i="1"/>
  <c r="CY61" i="1" s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AM62" i="1"/>
  <c r="CY62" i="1" s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CY33" i="1"/>
  <c r="CZ33" i="1" s="1"/>
  <c r="CX33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34" i="1"/>
  <c r="AL33" i="1"/>
  <c r="AI32" i="1"/>
  <c r="H32" i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G32" i="1"/>
  <c r="AI3" i="1"/>
  <c r="AI4" i="1"/>
  <c r="AI5" i="1"/>
  <c r="AI6" i="1"/>
  <c r="AI7" i="1"/>
  <c r="AI8" i="1"/>
  <c r="AI9" i="1"/>
  <c r="AI10" i="1"/>
  <c r="AI11" i="1"/>
  <c r="AI12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2" i="1"/>
  <c r="C5" i="1"/>
  <c r="C4" i="1"/>
  <c r="E30" i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E6" i="1" s="1"/>
  <c r="E5" i="1" s="1"/>
  <c r="E4" i="1" s="1"/>
  <c r="E3" i="1" s="1"/>
  <c r="E2" i="1" s="1"/>
  <c r="CZ57" i="1" l="1"/>
  <c r="DA57" i="1" s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CZ44" i="1"/>
  <c r="DA44" i="1" s="1"/>
  <c r="CZ52" i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CZ60" i="1"/>
  <c r="DA60" i="1" s="1"/>
  <c r="CZ36" i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EA36" i="1" s="1"/>
  <c r="CZ43" i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CZ46" i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EA46" i="1" s="1"/>
  <c r="CZ61" i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CZ53" i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EA53" i="1" s="1"/>
  <c r="CZ45" i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CZ37" i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CZ62" i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EA62" i="1" s="1"/>
  <c r="CZ54" i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CZ49" i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EA49" i="1" s="1"/>
  <c r="DB60" i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DA33" i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EA33" i="1" s="1"/>
  <c r="CZ42" i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EA42" i="1" s="1"/>
  <c r="CZ58" i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EA58" i="1" s="1"/>
  <c r="CZ50" i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EA50" i="1" s="1"/>
  <c r="CZ34" i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EA34" i="1" s="1"/>
  <c r="CZ59" i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EA59" i="1" s="1"/>
  <c r="CZ51" i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EA51" i="1" s="1"/>
  <c r="CZ35" i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EA35" i="1" s="1"/>
  <c r="CY41" i="1"/>
  <c r="CZ41" i="1" s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CY56" i="1"/>
  <c r="CZ56" i="1" s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EA56" i="1" s="1"/>
  <c r="CY48" i="1"/>
  <c r="CZ48" i="1" s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EA48" i="1" s="1"/>
  <c r="CY40" i="1"/>
  <c r="CZ40" i="1" s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EA40" i="1" s="1"/>
  <c r="CY55" i="1"/>
  <c r="CZ55" i="1" s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EA55" i="1" s="1"/>
  <c r="CY47" i="1"/>
  <c r="CZ47" i="1" s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CY39" i="1"/>
  <c r="CZ39" i="1" s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EA39" i="1" s="1"/>
  <c r="CY38" i="1"/>
  <c r="CZ38" i="1" s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EA38" i="1" s="1"/>
  <c r="DB44" i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EA44" i="1" s="1"/>
  <c r="G19" i="2"/>
  <c r="H19" i="2" s="1"/>
  <c r="C19" i="2"/>
  <c r="G20" i="2" s="1"/>
  <c r="BR91" i="1"/>
  <c r="CT46" i="1"/>
  <c r="CT55" i="1"/>
  <c r="CT50" i="1"/>
  <c r="CT42" i="1"/>
  <c r="CP36" i="1"/>
  <c r="CQ36" i="1" s="1"/>
  <c r="CR36" i="1" s="1"/>
  <c r="CS36" i="1" s="1"/>
  <c r="CT39" i="1"/>
  <c r="CT57" i="1"/>
  <c r="CM53" i="1"/>
  <c r="CN53" i="1" s="1"/>
  <c r="CO53" i="1" s="1"/>
  <c r="CP53" i="1" s="1"/>
  <c r="CQ53" i="1" s="1"/>
  <c r="CR53" i="1" s="1"/>
  <c r="CS53" i="1" s="1"/>
  <c r="CM45" i="1"/>
  <c r="CN45" i="1" s="1"/>
  <c r="CO45" i="1" s="1"/>
  <c r="CP45" i="1" s="1"/>
  <c r="CQ45" i="1" s="1"/>
  <c r="CR45" i="1" s="1"/>
  <c r="CS45" i="1" s="1"/>
  <c r="CT41" i="1"/>
  <c r="CS35" i="1"/>
  <c r="CT54" i="1"/>
  <c r="CP52" i="1"/>
  <c r="CQ52" i="1" s="1"/>
  <c r="CR52" i="1" s="1"/>
  <c r="CS52" i="1" s="1"/>
  <c r="CT48" i="1"/>
  <c r="CP44" i="1"/>
  <c r="CQ44" i="1" s="1"/>
  <c r="CR44" i="1" s="1"/>
  <c r="CS44" i="1" s="1"/>
  <c r="CU40" i="1"/>
  <c r="CT34" i="1"/>
  <c r="CT58" i="1"/>
  <c r="CT49" i="1"/>
  <c r="CT61" i="1"/>
  <c r="CS60" i="1"/>
  <c r="CT37" i="1"/>
  <c r="CS62" i="1"/>
  <c r="CS51" i="1"/>
  <c r="CS43" i="1"/>
  <c r="CT38" i="1"/>
  <c r="CT59" i="1"/>
  <c r="CT33" i="1"/>
  <c r="CT56" i="1"/>
  <c r="AH40" i="1" l="1"/>
  <c r="BN71" i="1" s="1"/>
  <c r="AH47" i="1"/>
  <c r="H20" i="2"/>
  <c r="I20" i="2" s="1"/>
  <c r="J20" i="2" s="1"/>
  <c r="I19" i="2"/>
  <c r="BR90" i="1"/>
  <c r="CU59" i="1"/>
  <c r="AH59" i="1"/>
  <c r="CU33" i="1"/>
  <c r="AH33" i="1"/>
  <c r="CT51" i="1"/>
  <c r="AH61" i="1"/>
  <c r="CU61" i="1"/>
  <c r="CU54" i="1"/>
  <c r="AH54" i="1"/>
  <c r="CT62" i="1"/>
  <c r="CT44" i="1"/>
  <c r="CU48" i="1"/>
  <c r="AH48" i="1"/>
  <c r="CT35" i="1"/>
  <c r="AH57" i="1"/>
  <c r="CU57" i="1"/>
  <c r="CU50" i="1"/>
  <c r="AH50" i="1"/>
  <c r="CU42" i="1"/>
  <c r="AH42" i="1"/>
  <c r="CU38" i="1"/>
  <c r="AH38" i="1"/>
  <c r="CU37" i="1"/>
  <c r="AH37" i="1"/>
  <c r="CU58" i="1"/>
  <c r="AH58" i="1"/>
  <c r="CT53" i="1"/>
  <c r="CU49" i="1"/>
  <c r="AH49" i="1"/>
  <c r="CU56" i="1"/>
  <c r="AH56" i="1"/>
  <c r="CT60" i="1"/>
  <c r="CU41" i="1"/>
  <c r="AH41" i="1"/>
  <c r="CU39" i="1"/>
  <c r="AH39" i="1"/>
  <c r="CU55" i="1"/>
  <c r="AH55" i="1"/>
  <c r="CT43" i="1"/>
  <c r="CU34" i="1"/>
  <c r="AH34" i="1"/>
  <c r="CT52" i="1"/>
  <c r="CU46" i="1"/>
  <c r="AH46" i="1"/>
  <c r="CT45" i="1"/>
  <c r="CT36" i="1"/>
  <c r="AG40" i="1" l="1"/>
  <c r="AG41" i="1"/>
  <c r="BN72" i="1"/>
  <c r="AG34" i="1"/>
  <c r="BN65" i="1"/>
  <c r="AG56" i="1"/>
  <c r="BN87" i="1"/>
  <c r="AG57" i="1"/>
  <c r="BN88" i="1"/>
  <c r="AG58" i="1"/>
  <c r="BN89" i="1"/>
  <c r="AG54" i="1"/>
  <c r="BN85" i="1"/>
  <c r="AG55" i="1"/>
  <c r="BN86" i="1"/>
  <c r="AG38" i="1"/>
  <c r="BN69" i="1"/>
  <c r="AG61" i="1"/>
  <c r="BN92" i="1"/>
  <c r="DZ92" i="1" s="1"/>
  <c r="AG59" i="1"/>
  <c r="BN90" i="1"/>
  <c r="AG37" i="1"/>
  <c r="BN68" i="1"/>
  <c r="AG49" i="1"/>
  <c r="BN80" i="1"/>
  <c r="AG48" i="1"/>
  <c r="BN79" i="1"/>
  <c r="AF40" i="1"/>
  <c r="BM71" i="1"/>
  <c r="AG50" i="1"/>
  <c r="BN81" i="1"/>
  <c r="AG46" i="1"/>
  <c r="BN77" i="1"/>
  <c r="AG39" i="1"/>
  <c r="BN70" i="1"/>
  <c r="AG42" i="1"/>
  <c r="BN73" i="1"/>
  <c r="AG33" i="1"/>
  <c r="BN64" i="1"/>
  <c r="AG47" i="1"/>
  <c r="BN78" i="1"/>
  <c r="J19" i="2"/>
  <c r="K20" i="2" s="1"/>
  <c r="BR89" i="1"/>
  <c r="CU36" i="1"/>
  <c r="AH36" i="1"/>
  <c r="CU60" i="1"/>
  <c r="AH60" i="1"/>
  <c r="CU53" i="1"/>
  <c r="AH53" i="1"/>
  <c r="CU45" i="1"/>
  <c r="AH45" i="1"/>
  <c r="CU43" i="1"/>
  <c r="AH43" i="1"/>
  <c r="CU44" i="1"/>
  <c r="AH44" i="1"/>
  <c r="CU51" i="1"/>
  <c r="AH51" i="1"/>
  <c r="CU62" i="1"/>
  <c r="AH62" i="1"/>
  <c r="CU52" i="1"/>
  <c r="AH52" i="1"/>
  <c r="CU35" i="1"/>
  <c r="AH35" i="1"/>
  <c r="AF47" i="1" l="1"/>
  <c r="BM78" i="1"/>
  <c r="AF57" i="1"/>
  <c r="BM88" i="1"/>
  <c r="AF33" i="1"/>
  <c r="BM64" i="1"/>
  <c r="AF50" i="1"/>
  <c r="BM81" i="1"/>
  <c r="AF37" i="1"/>
  <c r="BM68" i="1"/>
  <c r="AF55" i="1"/>
  <c r="BM86" i="1"/>
  <c r="AF56" i="1"/>
  <c r="BM87" i="1"/>
  <c r="AF38" i="1"/>
  <c r="BM69" i="1"/>
  <c r="AG53" i="1"/>
  <c r="BN84" i="1"/>
  <c r="AE40" i="1"/>
  <c r="BL71" i="1"/>
  <c r="AF59" i="1"/>
  <c r="BM90" i="1"/>
  <c r="AF54" i="1"/>
  <c r="BM85" i="1"/>
  <c r="AF34" i="1"/>
  <c r="BM65" i="1"/>
  <c r="AF49" i="1"/>
  <c r="BM80" i="1"/>
  <c r="AG60" i="1"/>
  <c r="BN91" i="1"/>
  <c r="AG52" i="1"/>
  <c r="BN83" i="1"/>
  <c r="AG36" i="1"/>
  <c r="BN67" i="1"/>
  <c r="AG62" i="1"/>
  <c r="BN93" i="1"/>
  <c r="AG45" i="1"/>
  <c r="BN76" i="1"/>
  <c r="DZ91" i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AG51" i="1"/>
  <c r="BN82" i="1"/>
  <c r="AF46" i="1"/>
  <c r="BM77" i="1"/>
  <c r="AG35" i="1"/>
  <c r="BN66" i="1"/>
  <c r="AG43" i="1"/>
  <c r="BN74" i="1"/>
  <c r="AF42" i="1"/>
  <c r="BM73" i="1"/>
  <c r="AF39" i="1"/>
  <c r="BM70" i="1"/>
  <c r="AF48" i="1"/>
  <c r="BM79" i="1"/>
  <c r="AF61" i="1"/>
  <c r="BM92" i="1"/>
  <c r="DY92" i="1" s="1"/>
  <c r="AF58" i="1"/>
  <c r="BM89" i="1"/>
  <c r="AF41" i="1"/>
  <c r="BM72" i="1"/>
  <c r="AG44" i="1"/>
  <c r="BN75" i="1"/>
  <c r="K19" i="2"/>
  <c r="BR88" i="1"/>
  <c r="AE58" i="1" l="1"/>
  <c r="BL89" i="1"/>
  <c r="AE42" i="1"/>
  <c r="BL73" i="1"/>
  <c r="AF51" i="1"/>
  <c r="BM82" i="1"/>
  <c r="AE50" i="1"/>
  <c r="BL81" i="1"/>
  <c r="DZ75" i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DZ64" i="1" s="1"/>
  <c r="AF45" i="1"/>
  <c r="BM76" i="1"/>
  <c r="AF60" i="1"/>
  <c r="BM91" i="1"/>
  <c r="DY91" i="1" s="1"/>
  <c r="DY90" i="1" s="1"/>
  <c r="DY89" i="1" s="1"/>
  <c r="DY88" i="1" s="1"/>
  <c r="DY87" i="1" s="1"/>
  <c r="DY86" i="1" s="1"/>
  <c r="DY85" i="1" s="1"/>
  <c r="AE59" i="1"/>
  <c r="BL90" i="1"/>
  <c r="AE56" i="1"/>
  <c r="BL87" i="1"/>
  <c r="AE33" i="1"/>
  <c r="BL64" i="1"/>
  <c r="AE61" i="1"/>
  <c r="BL92" i="1"/>
  <c r="DX92" i="1" s="1"/>
  <c r="AE48" i="1"/>
  <c r="BL79" i="1"/>
  <c r="AF35" i="1"/>
  <c r="BM66" i="1"/>
  <c r="AF52" i="1"/>
  <c r="BM83" i="1"/>
  <c r="AF43" i="1"/>
  <c r="BM74" i="1"/>
  <c r="AD40" i="1"/>
  <c r="BK71" i="1"/>
  <c r="AE55" i="1"/>
  <c r="BL86" i="1"/>
  <c r="AE54" i="1"/>
  <c r="BL85" i="1"/>
  <c r="AF62" i="1"/>
  <c r="BM93" i="1"/>
  <c r="AE41" i="1"/>
  <c r="BL72" i="1"/>
  <c r="AE46" i="1"/>
  <c r="BL77" i="1"/>
  <c r="AE38" i="1"/>
  <c r="BL69" i="1"/>
  <c r="AE49" i="1"/>
  <c r="BL80" i="1"/>
  <c r="AE57" i="1"/>
  <c r="BL88" i="1"/>
  <c r="AE39" i="1"/>
  <c r="BL70" i="1"/>
  <c r="AF36" i="1"/>
  <c r="BM67" i="1"/>
  <c r="AE34" i="1"/>
  <c r="BL65" i="1"/>
  <c r="AF53" i="1"/>
  <c r="BM84" i="1"/>
  <c r="AE37" i="1"/>
  <c r="BL68" i="1"/>
  <c r="AE47" i="1"/>
  <c r="BL78" i="1"/>
  <c r="AF44" i="1"/>
  <c r="BM75" i="1"/>
  <c r="L19" i="2"/>
  <c r="L20" i="2"/>
  <c r="M20" i="2" s="1"/>
  <c r="BR87" i="1"/>
  <c r="AH64" i="1" l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DY84" i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AD46" i="1"/>
  <c r="BK77" i="1"/>
  <c r="AD55" i="1"/>
  <c r="BK86" i="1"/>
  <c r="AE35" i="1"/>
  <c r="BL66" i="1"/>
  <c r="AD56" i="1"/>
  <c r="BK87" i="1"/>
  <c r="AD50" i="1"/>
  <c r="BK81" i="1"/>
  <c r="AE51" i="1"/>
  <c r="BL82" i="1"/>
  <c r="AD48" i="1"/>
  <c r="BK79" i="1"/>
  <c r="AE62" i="1"/>
  <c r="BL93" i="1"/>
  <c r="AE43" i="1"/>
  <c r="BL74" i="1"/>
  <c r="AD61" i="1"/>
  <c r="BK92" i="1"/>
  <c r="DW92" i="1" s="1"/>
  <c r="AE60" i="1"/>
  <c r="BL91" i="1"/>
  <c r="DX91" i="1" s="1"/>
  <c r="DX90" i="1" s="1"/>
  <c r="DX89" i="1" s="1"/>
  <c r="DX88" i="1" s="1"/>
  <c r="DX87" i="1" s="1"/>
  <c r="DX86" i="1" s="1"/>
  <c r="DX85" i="1" s="1"/>
  <c r="AE53" i="1"/>
  <c r="BL84" i="1"/>
  <c r="AC40" i="1"/>
  <c r="BJ71" i="1"/>
  <c r="AD59" i="1"/>
  <c r="BK90" i="1"/>
  <c r="AD49" i="1"/>
  <c r="BK80" i="1"/>
  <c r="AE36" i="1"/>
  <c r="BL67" i="1"/>
  <c r="AD57" i="1"/>
  <c r="BK88" i="1"/>
  <c r="AD41" i="1"/>
  <c r="BK72" i="1"/>
  <c r="AD34" i="1"/>
  <c r="BK65" i="1"/>
  <c r="AD47" i="1"/>
  <c r="BK78" i="1"/>
  <c r="AD38" i="1"/>
  <c r="BK69" i="1"/>
  <c r="AD42" i="1"/>
  <c r="BK73" i="1"/>
  <c r="AD54" i="1"/>
  <c r="BK85" i="1"/>
  <c r="AE52" i="1"/>
  <c r="BL83" i="1"/>
  <c r="AD33" i="1"/>
  <c r="BK64" i="1"/>
  <c r="AE45" i="1"/>
  <c r="BL76" i="1"/>
  <c r="AD37" i="1"/>
  <c r="BK68" i="1"/>
  <c r="AD39" i="1"/>
  <c r="BK70" i="1"/>
  <c r="AD58" i="1"/>
  <c r="BK89" i="1"/>
  <c r="AE44" i="1"/>
  <c r="BL75" i="1"/>
  <c r="M19" i="2"/>
  <c r="BR86" i="1"/>
  <c r="DX84" i="1" l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AG64" i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DY64" i="1"/>
  <c r="AC56" i="1"/>
  <c r="BJ87" i="1"/>
  <c r="AD35" i="1"/>
  <c r="BK66" i="1"/>
  <c r="AC37" i="1"/>
  <c r="BJ68" i="1"/>
  <c r="AC41" i="1"/>
  <c r="BJ72" i="1"/>
  <c r="AC59" i="1"/>
  <c r="BJ90" i="1"/>
  <c r="AC61" i="1"/>
  <c r="BJ92" i="1"/>
  <c r="DV92" i="1" s="1"/>
  <c r="AD51" i="1"/>
  <c r="BK82" i="1"/>
  <c r="AC55" i="1"/>
  <c r="BJ86" i="1"/>
  <c r="AC54" i="1"/>
  <c r="BJ85" i="1"/>
  <c r="AD60" i="1"/>
  <c r="BK91" i="1"/>
  <c r="DW91" i="1" s="1"/>
  <c r="DW90" i="1" s="1"/>
  <c r="DW89" i="1" s="1"/>
  <c r="DW88" i="1" s="1"/>
  <c r="DW87" i="1" s="1"/>
  <c r="DW86" i="1" s="1"/>
  <c r="DW85" i="1" s="1"/>
  <c r="AD45" i="1"/>
  <c r="BK76" i="1"/>
  <c r="AC33" i="1"/>
  <c r="BJ64" i="1"/>
  <c r="AC57" i="1"/>
  <c r="BJ88" i="1"/>
  <c r="AB40" i="1"/>
  <c r="BI71" i="1"/>
  <c r="AD43" i="1"/>
  <c r="BK74" i="1"/>
  <c r="AC49" i="1"/>
  <c r="BJ80" i="1"/>
  <c r="AC48" i="1"/>
  <c r="BJ79" i="1"/>
  <c r="AC42" i="1"/>
  <c r="BJ73" i="1"/>
  <c r="AC58" i="1"/>
  <c r="BJ89" i="1"/>
  <c r="AC38" i="1"/>
  <c r="BJ69" i="1"/>
  <c r="AC50" i="1"/>
  <c r="BJ81" i="1"/>
  <c r="AC46" i="1"/>
  <c r="BJ77" i="1"/>
  <c r="AC34" i="1"/>
  <c r="BJ65" i="1"/>
  <c r="AC39" i="1"/>
  <c r="BJ70" i="1"/>
  <c r="AD52" i="1"/>
  <c r="BK83" i="1"/>
  <c r="AC47" i="1"/>
  <c r="BJ78" i="1"/>
  <c r="AD36" i="1"/>
  <c r="BK67" i="1"/>
  <c r="AD53" i="1"/>
  <c r="BK84" i="1"/>
  <c r="AD62" i="1"/>
  <c r="BK93" i="1"/>
  <c r="AD44" i="1"/>
  <c r="BK75" i="1"/>
  <c r="N19" i="2"/>
  <c r="N20" i="2"/>
  <c r="O20" i="2" s="1"/>
  <c r="BR85" i="1"/>
  <c r="DW84" i="1" l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DW64" i="1" s="1"/>
  <c r="DX64" i="1"/>
  <c r="AF64" i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C36" i="1"/>
  <c r="BJ67" i="1"/>
  <c r="AC43" i="1"/>
  <c r="BJ74" i="1"/>
  <c r="AC45" i="1"/>
  <c r="BJ76" i="1"/>
  <c r="AC51" i="1"/>
  <c r="BJ82" i="1"/>
  <c r="AB37" i="1"/>
  <c r="BI68" i="1"/>
  <c r="AB46" i="1"/>
  <c r="BI77" i="1"/>
  <c r="AB42" i="1"/>
  <c r="BI73" i="1"/>
  <c r="AA40" i="1"/>
  <c r="BH71" i="1"/>
  <c r="AC60" i="1"/>
  <c r="BJ91" i="1"/>
  <c r="DV91" i="1" s="1"/>
  <c r="DV90" i="1" s="1"/>
  <c r="DV89" i="1" s="1"/>
  <c r="DV88" i="1" s="1"/>
  <c r="DV87" i="1" s="1"/>
  <c r="DV86" i="1" s="1"/>
  <c r="DV85" i="1" s="1"/>
  <c r="AB61" i="1"/>
  <c r="BI92" i="1"/>
  <c r="DU92" i="1" s="1"/>
  <c r="AC35" i="1"/>
  <c r="BJ66" i="1"/>
  <c r="AB58" i="1"/>
  <c r="BI89" i="1"/>
  <c r="AB47" i="1"/>
  <c r="BI78" i="1"/>
  <c r="AC62" i="1"/>
  <c r="BJ93" i="1"/>
  <c r="AC52" i="1"/>
  <c r="BJ83" i="1"/>
  <c r="AB50" i="1"/>
  <c r="BI81" i="1"/>
  <c r="AB48" i="1"/>
  <c r="BI79" i="1"/>
  <c r="AB57" i="1"/>
  <c r="BI88" i="1"/>
  <c r="AB54" i="1"/>
  <c r="BI85" i="1"/>
  <c r="AB59" i="1"/>
  <c r="BI90" i="1"/>
  <c r="AB34" i="1"/>
  <c r="BI65" i="1"/>
  <c r="AB56" i="1"/>
  <c r="BI87" i="1"/>
  <c r="AC53" i="1"/>
  <c r="BJ84" i="1"/>
  <c r="AB39" i="1"/>
  <c r="BI70" i="1"/>
  <c r="AB38" i="1"/>
  <c r="BI69" i="1"/>
  <c r="AB49" i="1"/>
  <c r="BI80" i="1"/>
  <c r="AB33" i="1"/>
  <c r="BI64" i="1"/>
  <c r="AB55" i="1"/>
  <c r="BI86" i="1"/>
  <c r="AB41" i="1"/>
  <c r="BI72" i="1"/>
  <c r="AC44" i="1"/>
  <c r="BJ75" i="1"/>
  <c r="O19" i="2"/>
  <c r="BR84" i="1"/>
  <c r="AE64" i="1" l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DV84" i="1"/>
  <c r="DV83" i="1" s="1"/>
  <c r="DV82" i="1" s="1"/>
  <c r="DV81" i="1" s="1"/>
  <c r="DV80" i="1" s="1"/>
  <c r="DV79" i="1" s="1"/>
  <c r="DV78" i="1" s="1"/>
  <c r="DV77" i="1" s="1"/>
  <c r="DV76" i="1" s="1"/>
  <c r="AB53" i="1"/>
  <c r="BI84" i="1"/>
  <c r="AB52" i="1"/>
  <c r="BI83" i="1"/>
  <c r="AB35" i="1"/>
  <c r="BI66" i="1"/>
  <c r="AA42" i="1"/>
  <c r="BH73" i="1"/>
  <c r="AB51" i="1"/>
  <c r="BI82" i="1"/>
  <c r="AA33" i="1"/>
  <c r="BH64" i="1"/>
  <c r="AA49" i="1"/>
  <c r="BH80" i="1"/>
  <c r="AA56" i="1"/>
  <c r="BH87" i="1"/>
  <c r="AA57" i="1"/>
  <c r="BH88" i="1"/>
  <c r="AB62" i="1"/>
  <c r="BI93" i="1"/>
  <c r="AA61" i="1"/>
  <c r="BH92" i="1"/>
  <c r="DT92" i="1" s="1"/>
  <c r="AA46" i="1"/>
  <c r="BH77" i="1"/>
  <c r="AB45" i="1"/>
  <c r="BI76" i="1"/>
  <c r="AB43" i="1"/>
  <c r="BI74" i="1"/>
  <c r="DV75" i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A54" i="1"/>
  <c r="BH85" i="1"/>
  <c r="AA41" i="1"/>
  <c r="BH72" i="1"/>
  <c r="AA34" i="1"/>
  <c r="BH65" i="1"/>
  <c r="AB60" i="1"/>
  <c r="BI91" i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AA38" i="1"/>
  <c r="BH69" i="1"/>
  <c r="AA48" i="1"/>
  <c r="BH79" i="1"/>
  <c r="AA47" i="1"/>
  <c r="BH78" i="1"/>
  <c r="AA55" i="1"/>
  <c r="BH86" i="1"/>
  <c r="AA39" i="1"/>
  <c r="BH70" i="1"/>
  <c r="AA59" i="1"/>
  <c r="BH90" i="1"/>
  <c r="AA50" i="1"/>
  <c r="BH81" i="1"/>
  <c r="AA58" i="1"/>
  <c r="BH89" i="1"/>
  <c r="Z40" i="1"/>
  <c r="BG71" i="1"/>
  <c r="AA37" i="1"/>
  <c r="BH68" i="1"/>
  <c r="AB36" i="1"/>
  <c r="BI67" i="1"/>
  <c r="AB44" i="1"/>
  <c r="BI75" i="1"/>
  <c r="P19" i="2"/>
  <c r="P20" i="2"/>
  <c r="Q20" i="2" s="1"/>
  <c r="BR83" i="1"/>
  <c r="Z42" i="1" l="1"/>
  <c r="BG73" i="1"/>
  <c r="Z56" i="1"/>
  <c r="BG87" i="1"/>
  <c r="Z61" i="1"/>
  <c r="BG92" i="1"/>
  <c r="DS92" i="1" s="1"/>
  <c r="Z49" i="1"/>
  <c r="BG80" i="1"/>
  <c r="Y40" i="1"/>
  <c r="BF71" i="1"/>
  <c r="DV64" i="1"/>
  <c r="AA35" i="1"/>
  <c r="BH66" i="1"/>
  <c r="AA43" i="1"/>
  <c r="BH74" i="1"/>
  <c r="AA62" i="1"/>
  <c r="BH93" i="1"/>
  <c r="Z33" i="1"/>
  <c r="BG64" i="1"/>
  <c r="DU75" i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DU64" i="1" s="1"/>
  <c r="Z54" i="1"/>
  <c r="BG85" i="1"/>
  <c r="Z55" i="1"/>
  <c r="BG86" i="1"/>
  <c r="AA36" i="1"/>
  <c r="BH67" i="1"/>
  <c r="Z50" i="1"/>
  <c r="BG81" i="1"/>
  <c r="Z47" i="1"/>
  <c r="BG78" i="1"/>
  <c r="Z34" i="1"/>
  <c r="BG65" i="1"/>
  <c r="AA52" i="1"/>
  <c r="BH83" i="1"/>
  <c r="Z38" i="1"/>
  <c r="BG69" i="1"/>
  <c r="Z58" i="1"/>
  <c r="BG89" i="1"/>
  <c r="AA45" i="1"/>
  <c r="BH76" i="1"/>
  <c r="Z57" i="1"/>
  <c r="BG88" i="1"/>
  <c r="Z46" i="1"/>
  <c r="BG77" i="1"/>
  <c r="Z39" i="1"/>
  <c r="BG70" i="1"/>
  <c r="AA60" i="1"/>
  <c r="BH91" i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Z37" i="1"/>
  <c r="BG68" i="1"/>
  <c r="Z59" i="1"/>
  <c r="BG90" i="1"/>
  <c r="Z48" i="1"/>
  <c r="BG79" i="1"/>
  <c r="Z41" i="1"/>
  <c r="BG72" i="1"/>
  <c r="AA51" i="1"/>
  <c r="BH82" i="1"/>
  <c r="AA53" i="1"/>
  <c r="BH84" i="1"/>
  <c r="AA44" i="1"/>
  <c r="BH75" i="1"/>
  <c r="Q19" i="2"/>
  <c r="R20" i="2"/>
  <c r="BR82" i="1"/>
  <c r="AC64" i="1" l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Y49" i="1"/>
  <c r="BF80" i="1"/>
  <c r="Y34" i="1"/>
  <c r="BF65" i="1"/>
  <c r="Y48" i="1"/>
  <c r="BF79" i="1"/>
  <c r="Y39" i="1"/>
  <c r="BF70" i="1"/>
  <c r="Y58" i="1"/>
  <c r="BF89" i="1"/>
  <c r="Y47" i="1"/>
  <c r="BF78" i="1"/>
  <c r="Y54" i="1"/>
  <c r="BF85" i="1"/>
  <c r="Y61" i="1"/>
  <c r="BF92" i="1"/>
  <c r="DR92" i="1" s="1"/>
  <c r="Y41" i="1"/>
  <c r="BF72" i="1"/>
  <c r="Z35" i="1"/>
  <c r="BG66" i="1"/>
  <c r="Z43" i="1"/>
  <c r="BG74" i="1"/>
  <c r="Y46" i="1"/>
  <c r="BF77" i="1"/>
  <c r="Y50" i="1"/>
  <c r="BF81" i="1"/>
  <c r="Y56" i="1"/>
  <c r="BF87" i="1"/>
  <c r="Z45" i="1"/>
  <c r="BG76" i="1"/>
  <c r="Y33" i="1"/>
  <c r="BF64" i="1"/>
  <c r="Z60" i="1"/>
  <c r="BG91" i="1"/>
  <c r="Y55" i="1"/>
  <c r="BF86" i="1"/>
  <c r="Z53" i="1"/>
  <c r="BG84" i="1"/>
  <c r="Y59" i="1"/>
  <c r="BF90" i="1"/>
  <c r="Z51" i="1"/>
  <c r="BG82" i="1"/>
  <c r="Y37" i="1"/>
  <c r="BF68" i="1"/>
  <c r="Y57" i="1"/>
  <c r="BF88" i="1"/>
  <c r="Z52" i="1"/>
  <c r="BG83" i="1"/>
  <c r="Z36" i="1"/>
  <c r="BG67" i="1"/>
  <c r="X40" i="1"/>
  <c r="BE71" i="1"/>
  <c r="Y42" i="1"/>
  <c r="BF73" i="1"/>
  <c r="DS91" i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Y38" i="1"/>
  <c r="BF69" i="1"/>
  <c r="DT75" i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DT64" i="1" s="1"/>
  <c r="Z62" i="1"/>
  <c r="BG93" i="1"/>
  <c r="Z44" i="1"/>
  <c r="BG75" i="1"/>
  <c r="R19" i="2"/>
  <c r="BR81" i="1"/>
  <c r="DS75" i="1" l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DS64" i="1" s="1"/>
  <c r="X33" i="1"/>
  <c r="BE64" i="1"/>
  <c r="X46" i="1"/>
  <c r="BE77" i="1"/>
  <c r="X61" i="1"/>
  <c r="BE92" i="1"/>
  <c r="DQ92" i="1" s="1"/>
  <c r="X39" i="1"/>
  <c r="BE70" i="1"/>
  <c r="AB64" i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X38" i="1"/>
  <c r="BE69" i="1"/>
  <c r="X42" i="1"/>
  <c r="BE73" i="1"/>
  <c r="Y53" i="1"/>
  <c r="BF84" i="1"/>
  <c r="Y45" i="1"/>
  <c r="BF76" i="1"/>
  <c r="Y43" i="1"/>
  <c r="BF74" i="1"/>
  <c r="X54" i="1"/>
  <c r="BE85" i="1"/>
  <c r="X48" i="1"/>
  <c r="BE79" i="1"/>
  <c r="Y52" i="1"/>
  <c r="BF83" i="1"/>
  <c r="X57" i="1"/>
  <c r="BE88" i="1"/>
  <c r="Y62" i="1"/>
  <c r="BF93" i="1"/>
  <c r="W40" i="1"/>
  <c r="BD71" i="1"/>
  <c r="X37" i="1"/>
  <c r="BE68" i="1"/>
  <c r="X55" i="1"/>
  <c r="BE86" i="1"/>
  <c r="X56" i="1"/>
  <c r="BE87" i="1"/>
  <c r="Y35" i="1"/>
  <c r="BF66" i="1"/>
  <c r="X47" i="1"/>
  <c r="BE78" i="1"/>
  <c r="X34" i="1"/>
  <c r="BE65" i="1"/>
  <c r="X59" i="1"/>
  <c r="BE90" i="1"/>
  <c r="Y36" i="1"/>
  <c r="BF67" i="1"/>
  <c r="Y51" i="1"/>
  <c r="BF82" i="1"/>
  <c r="Y60" i="1"/>
  <c r="BF91" i="1"/>
  <c r="DR91" i="1" s="1"/>
  <c r="DR90" i="1" s="1"/>
  <c r="DR89" i="1" s="1"/>
  <c r="DR88" i="1" s="1"/>
  <c r="DR87" i="1" s="1"/>
  <c r="DR86" i="1" s="1"/>
  <c r="DR85" i="1" s="1"/>
  <c r="X50" i="1"/>
  <c r="BE81" i="1"/>
  <c r="X41" i="1"/>
  <c r="BE72" i="1"/>
  <c r="X58" i="1"/>
  <c r="BE89" i="1"/>
  <c r="X49" i="1"/>
  <c r="BE80" i="1"/>
  <c r="Y44" i="1"/>
  <c r="BF75" i="1"/>
  <c r="S19" i="2"/>
  <c r="S20" i="2"/>
  <c r="T20" i="2" s="1"/>
  <c r="BR80" i="1"/>
  <c r="AA64" i="1" l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DR84" i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W37" i="1"/>
  <c r="BD68" i="1"/>
  <c r="W41" i="1"/>
  <c r="BD72" i="1"/>
  <c r="X36" i="1"/>
  <c r="BE67" i="1"/>
  <c r="X35" i="1"/>
  <c r="BE66" i="1"/>
  <c r="V40" i="1"/>
  <c r="BC71" i="1"/>
  <c r="W39" i="1"/>
  <c r="BD70" i="1"/>
  <c r="W48" i="1"/>
  <c r="BD79" i="1"/>
  <c r="X53" i="1"/>
  <c r="BE84" i="1"/>
  <c r="W50" i="1"/>
  <c r="BD81" i="1"/>
  <c r="W59" i="1"/>
  <c r="BD90" i="1"/>
  <c r="W56" i="1"/>
  <c r="BD87" i="1"/>
  <c r="X62" i="1"/>
  <c r="BE93" i="1"/>
  <c r="W61" i="1"/>
  <c r="BD92" i="1"/>
  <c r="DP92" i="1" s="1"/>
  <c r="X51" i="1"/>
  <c r="BE82" i="1"/>
  <c r="W54" i="1"/>
  <c r="BD85" i="1"/>
  <c r="W42" i="1"/>
  <c r="BD73" i="1"/>
  <c r="W49" i="1"/>
  <c r="BD80" i="1"/>
  <c r="X60" i="1"/>
  <c r="BE91" i="1"/>
  <c r="DQ91" i="1" s="1"/>
  <c r="DQ90" i="1" s="1"/>
  <c r="DQ89" i="1" s="1"/>
  <c r="DQ88" i="1" s="1"/>
  <c r="DQ87" i="1" s="1"/>
  <c r="DQ86" i="1" s="1"/>
  <c r="DQ85" i="1" s="1"/>
  <c r="W34" i="1"/>
  <c r="BD65" i="1"/>
  <c r="W55" i="1"/>
  <c r="BD86" i="1"/>
  <c r="W57" i="1"/>
  <c r="BD88" i="1"/>
  <c r="W46" i="1"/>
  <c r="BD77" i="1"/>
  <c r="W47" i="1"/>
  <c r="BD78" i="1"/>
  <c r="X43" i="1"/>
  <c r="BE74" i="1"/>
  <c r="W38" i="1"/>
  <c r="BD69" i="1"/>
  <c r="W58" i="1"/>
  <c r="BD89" i="1"/>
  <c r="X52" i="1"/>
  <c r="BE83" i="1"/>
  <c r="W33" i="1"/>
  <c r="BD64" i="1"/>
  <c r="X45" i="1"/>
  <c r="BE76" i="1"/>
  <c r="X44" i="1"/>
  <c r="BE75" i="1"/>
  <c r="T19" i="2"/>
  <c r="BR79" i="1"/>
  <c r="DQ84" i="1" l="1"/>
  <c r="DQ83" i="1" s="1"/>
  <c r="DQ82" i="1" s="1"/>
  <c r="DQ81" i="1" s="1"/>
  <c r="DQ80" i="1" s="1"/>
  <c r="DQ79" i="1" s="1"/>
  <c r="DQ78" i="1" s="1"/>
  <c r="DQ77" i="1" s="1"/>
  <c r="DQ76" i="1" s="1"/>
  <c r="W53" i="1"/>
  <c r="BD84" i="1"/>
  <c r="V34" i="1"/>
  <c r="BC65" i="1"/>
  <c r="V56" i="1"/>
  <c r="BC87" i="1"/>
  <c r="W35" i="1"/>
  <c r="BD66" i="1"/>
  <c r="V48" i="1"/>
  <c r="BC79" i="1"/>
  <c r="W36" i="1"/>
  <c r="BD67" i="1"/>
  <c r="V54" i="1"/>
  <c r="BC85" i="1"/>
  <c r="W60" i="1"/>
  <c r="BD91" i="1"/>
  <c r="DP91" i="1" s="1"/>
  <c r="DP90" i="1" s="1"/>
  <c r="DP89" i="1" s="1"/>
  <c r="DP88" i="1" s="1"/>
  <c r="DP87" i="1" s="1"/>
  <c r="DP86" i="1" s="1"/>
  <c r="DP85" i="1" s="1"/>
  <c r="W52" i="1"/>
  <c r="BD83" i="1"/>
  <c r="V58" i="1"/>
  <c r="BC89" i="1"/>
  <c r="V46" i="1"/>
  <c r="BC77" i="1"/>
  <c r="W45" i="1"/>
  <c r="BD76" i="1"/>
  <c r="V38" i="1"/>
  <c r="BC69" i="1"/>
  <c r="V57" i="1"/>
  <c r="BC88" i="1"/>
  <c r="V49" i="1"/>
  <c r="BC80" i="1"/>
  <c r="V61" i="1"/>
  <c r="BC92" i="1"/>
  <c r="DO92" i="1" s="1"/>
  <c r="V50" i="1"/>
  <c r="BC81" i="1"/>
  <c r="V39" i="1"/>
  <c r="BC70" i="1"/>
  <c r="V41" i="1"/>
  <c r="BC72" i="1"/>
  <c r="DQ75" i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DQ64" i="1" s="1"/>
  <c r="DR64" i="1"/>
  <c r="V59" i="1"/>
  <c r="BC90" i="1"/>
  <c r="V47" i="1"/>
  <c r="BC78" i="1"/>
  <c r="W51" i="1"/>
  <c r="BD82" i="1"/>
  <c r="V33" i="1"/>
  <c r="BC64" i="1"/>
  <c r="W43" i="1"/>
  <c r="BD74" i="1"/>
  <c r="V55" i="1"/>
  <c r="BC86" i="1"/>
  <c r="V42" i="1"/>
  <c r="BC73" i="1"/>
  <c r="W62" i="1"/>
  <c r="BD93" i="1"/>
  <c r="U40" i="1"/>
  <c r="BB71" i="1"/>
  <c r="V37" i="1"/>
  <c r="BC68" i="1"/>
  <c r="W44" i="1"/>
  <c r="BD75" i="1"/>
  <c r="U19" i="2"/>
  <c r="U20" i="2"/>
  <c r="V20" i="2" s="1"/>
  <c r="BR78" i="1"/>
  <c r="DP84" i="1" l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DP64" i="1" s="1"/>
  <c r="V62" i="1"/>
  <c r="BC93" i="1"/>
  <c r="Y64" i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V60" i="1"/>
  <c r="BC91" i="1"/>
  <c r="DO91" i="1" s="1"/>
  <c r="DO90" i="1" s="1"/>
  <c r="DO89" i="1" s="1"/>
  <c r="DO88" i="1" s="1"/>
  <c r="DO87" i="1" s="1"/>
  <c r="DO86" i="1" s="1"/>
  <c r="DO85" i="1" s="1"/>
  <c r="V35" i="1"/>
  <c r="BC66" i="1"/>
  <c r="U42" i="1"/>
  <c r="BB73" i="1"/>
  <c r="V51" i="1"/>
  <c r="BC82" i="1"/>
  <c r="U41" i="1"/>
  <c r="BB72" i="1"/>
  <c r="U49" i="1"/>
  <c r="BB80" i="1"/>
  <c r="U46" i="1"/>
  <c r="BB77" i="1"/>
  <c r="U61" i="1"/>
  <c r="BB92" i="1"/>
  <c r="DN92" i="1" s="1"/>
  <c r="U39" i="1"/>
  <c r="BB70" i="1"/>
  <c r="U54" i="1"/>
  <c r="BB85" i="1"/>
  <c r="U47" i="1"/>
  <c r="BB78" i="1"/>
  <c r="V36" i="1"/>
  <c r="BC67" i="1"/>
  <c r="U34" i="1"/>
  <c r="BB65" i="1"/>
  <c r="U33" i="1"/>
  <c r="BB64" i="1"/>
  <c r="U56" i="1"/>
  <c r="BB87" i="1"/>
  <c r="U55" i="1"/>
  <c r="BB86" i="1"/>
  <c r="U57" i="1"/>
  <c r="BB88" i="1"/>
  <c r="T40" i="1"/>
  <c r="BA71" i="1"/>
  <c r="V43" i="1"/>
  <c r="BC74" i="1"/>
  <c r="U59" i="1"/>
  <c r="BB90" i="1"/>
  <c r="U50" i="1"/>
  <c r="BB81" i="1"/>
  <c r="U38" i="1"/>
  <c r="BB69" i="1"/>
  <c r="V52" i="1"/>
  <c r="BC83" i="1"/>
  <c r="V45" i="1"/>
  <c r="BC76" i="1"/>
  <c r="U37" i="1"/>
  <c r="BB68" i="1"/>
  <c r="U58" i="1"/>
  <c r="BB89" i="1"/>
  <c r="U48" i="1"/>
  <c r="BB79" i="1"/>
  <c r="V53" i="1"/>
  <c r="BC84" i="1"/>
  <c r="V44" i="1"/>
  <c r="BC75" i="1"/>
  <c r="V19" i="2"/>
  <c r="BR77" i="1"/>
  <c r="DO84" i="1" l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DO64" i="1" s="1"/>
  <c r="T42" i="1"/>
  <c r="BA73" i="1"/>
  <c r="S40" i="1"/>
  <c r="AZ71" i="1"/>
  <c r="T49" i="1"/>
  <c r="BA80" i="1"/>
  <c r="U35" i="1"/>
  <c r="BB66" i="1"/>
  <c r="U52" i="1"/>
  <c r="BB83" i="1"/>
  <c r="U43" i="1"/>
  <c r="BB74" i="1"/>
  <c r="X64" i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T56" i="1"/>
  <c r="BA87" i="1"/>
  <c r="T47" i="1"/>
  <c r="BA78" i="1"/>
  <c r="T58" i="1"/>
  <c r="BA89" i="1"/>
  <c r="T33" i="1"/>
  <c r="BA64" i="1"/>
  <c r="T37" i="1"/>
  <c r="BA68" i="1"/>
  <c r="T57" i="1"/>
  <c r="BA88" i="1"/>
  <c r="T34" i="1"/>
  <c r="BA65" i="1"/>
  <c r="T41" i="1"/>
  <c r="BA72" i="1"/>
  <c r="T48" i="1"/>
  <c r="BA79" i="1"/>
  <c r="U45" i="1"/>
  <c r="BB76" i="1"/>
  <c r="T59" i="1"/>
  <c r="BA90" i="1"/>
  <c r="T55" i="1"/>
  <c r="BA86" i="1"/>
  <c r="U36" i="1"/>
  <c r="BB67" i="1"/>
  <c r="T61" i="1"/>
  <c r="BA92" i="1"/>
  <c r="DM92" i="1" s="1"/>
  <c r="U51" i="1"/>
  <c r="BB82" i="1"/>
  <c r="T46" i="1"/>
  <c r="BA77" i="1"/>
  <c r="T38" i="1"/>
  <c r="BA69" i="1"/>
  <c r="T54" i="1"/>
  <c r="BA85" i="1"/>
  <c r="U53" i="1"/>
  <c r="BB84" i="1"/>
  <c r="T50" i="1"/>
  <c r="BA81" i="1"/>
  <c r="T39" i="1"/>
  <c r="BA70" i="1"/>
  <c r="U60" i="1"/>
  <c r="BB91" i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U62" i="1"/>
  <c r="BB93" i="1"/>
  <c r="U44" i="1"/>
  <c r="BB75" i="1"/>
  <c r="W19" i="2"/>
  <c r="W20" i="2"/>
  <c r="X20" i="2" s="1"/>
  <c r="BR76" i="1"/>
  <c r="W64" i="1" l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S39" i="1"/>
  <c r="AZ70" i="1"/>
  <c r="S38" i="1"/>
  <c r="AZ69" i="1"/>
  <c r="T36" i="1"/>
  <c r="BA67" i="1"/>
  <c r="S48" i="1"/>
  <c r="AZ79" i="1"/>
  <c r="T35" i="1"/>
  <c r="BA66" i="1"/>
  <c r="S37" i="1"/>
  <c r="AZ68" i="1"/>
  <c r="S56" i="1"/>
  <c r="AZ87" i="1"/>
  <c r="T62" i="1"/>
  <c r="BA93" i="1"/>
  <c r="S41" i="1"/>
  <c r="AZ72" i="1"/>
  <c r="S33" i="1"/>
  <c r="AZ64" i="1"/>
  <c r="T53" i="1"/>
  <c r="BA84" i="1"/>
  <c r="T51" i="1"/>
  <c r="BA82" i="1"/>
  <c r="S59" i="1"/>
  <c r="AZ90" i="1"/>
  <c r="T43" i="1"/>
  <c r="BA74" i="1"/>
  <c r="R40" i="1"/>
  <c r="AY71" i="1"/>
  <c r="S57" i="1"/>
  <c r="AZ88" i="1"/>
  <c r="S50" i="1"/>
  <c r="AZ81" i="1"/>
  <c r="S55" i="1"/>
  <c r="AZ86" i="1"/>
  <c r="S34" i="1"/>
  <c r="AZ65" i="1"/>
  <c r="S58" i="1"/>
  <c r="AZ89" i="1"/>
  <c r="S47" i="1"/>
  <c r="AZ78" i="1"/>
  <c r="S46" i="1"/>
  <c r="AZ77" i="1"/>
  <c r="S49" i="1"/>
  <c r="AZ80" i="1"/>
  <c r="DN75" i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DN64" i="1" s="1"/>
  <c r="T60" i="1"/>
  <c r="BA91" i="1"/>
  <c r="DM91" i="1" s="1"/>
  <c r="DM90" i="1" s="1"/>
  <c r="DM89" i="1" s="1"/>
  <c r="DM88" i="1" s="1"/>
  <c r="DM87" i="1" s="1"/>
  <c r="DM86" i="1" s="1"/>
  <c r="DM85" i="1" s="1"/>
  <c r="S54" i="1"/>
  <c r="AZ85" i="1"/>
  <c r="S61" i="1"/>
  <c r="AZ92" i="1"/>
  <c r="DL92" i="1" s="1"/>
  <c r="T45" i="1"/>
  <c r="BA76" i="1"/>
  <c r="T52" i="1"/>
  <c r="BA83" i="1"/>
  <c r="S42" i="1"/>
  <c r="AZ73" i="1"/>
  <c r="T44" i="1"/>
  <c r="BA75" i="1"/>
  <c r="X19" i="2"/>
  <c r="BR75" i="1"/>
  <c r="DM84" i="1" l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DM64" i="1" s="1"/>
  <c r="R49" i="1"/>
  <c r="AY80" i="1"/>
  <c r="R34" i="1"/>
  <c r="AY65" i="1"/>
  <c r="Q40" i="1"/>
  <c r="AX71" i="1"/>
  <c r="S53" i="1"/>
  <c r="AZ84" i="1"/>
  <c r="R56" i="1"/>
  <c r="AY87" i="1"/>
  <c r="S36" i="1"/>
  <c r="AZ67" i="1"/>
  <c r="R48" i="1"/>
  <c r="AY79" i="1"/>
  <c r="S62" i="1"/>
  <c r="AZ93" i="1"/>
  <c r="R61" i="1"/>
  <c r="AY92" i="1"/>
  <c r="DK92" i="1" s="1"/>
  <c r="R42" i="1"/>
  <c r="AY73" i="1"/>
  <c r="R54" i="1"/>
  <c r="AY85" i="1"/>
  <c r="R55" i="1"/>
  <c r="AY86" i="1"/>
  <c r="S43" i="1"/>
  <c r="AZ74" i="1"/>
  <c r="R33" i="1"/>
  <c r="AY64" i="1"/>
  <c r="R37" i="1"/>
  <c r="AY68" i="1"/>
  <c r="R38" i="1"/>
  <c r="AY69" i="1"/>
  <c r="S51" i="1"/>
  <c r="AZ82" i="1"/>
  <c r="V64" i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R46" i="1"/>
  <c r="AY77" i="1"/>
  <c r="R47" i="1"/>
  <c r="AY78" i="1"/>
  <c r="S45" i="1"/>
  <c r="AZ76" i="1"/>
  <c r="R57" i="1"/>
  <c r="AY88" i="1"/>
  <c r="S52" i="1"/>
  <c r="AZ83" i="1"/>
  <c r="S60" i="1"/>
  <c r="AZ91" i="1"/>
  <c r="DL91" i="1" s="1"/>
  <c r="DL90" i="1" s="1"/>
  <c r="DL89" i="1" s="1"/>
  <c r="DL88" i="1" s="1"/>
  <c r="DL87" i="1" s="1"/>
  <c r="DL86" i="1" s="1"/>
  <c r="DL85" i="1" s="1"/>
  <c r="R50" i="1"/>
  <c r="AY81" i="1"/>
  <c r="R59" i="1"/>
  <c r="AY90" i="1"/>
  <c r="R41" i="1"/>
  <c r="AY72" i="1"/>
  <c r="S35" i="1"/>
  <c r="AZ66" i="1"/>
  <c r="R39" i="1"/>
  <c r="AY70" i="1"/>
  <c r="R58" i="1"/>
  <c r="AY89" i="1"/>
  <c r="S44" i="1"/>
  <c r="AZ75" i="1"/>
  <c r="Y19" i="2"/>
  <c r="Y20" i="2"/>
  <c r="Z20" i="2" s="1"/>
  <c r="BR74" i="1"/>
  <c r="DL84" i="1" l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DL64" i="1" s="1"/>
  <c r="U64" i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R35" i="1"/>
  <c r="AY66" i="1"/>
  <c r="Q47" i="1"/>
  <c r="AX78" i="1"/>
  <c r="R60" i="1"/>
  <c r="AY91" i="1"/>
  <c r="DK91" i="1" s="1"/>
  <c r="DK90" i="1" s="1"/>
  <c r="DK89" i="1" s="1"/>
  <c r="DK88" i="1" s="1"/>
  <c r="DK87" i="1" s="1"/>
  <c r="DK86" i="1" s="1"/>
  <c r="DK85" i="1" s="1"/>
  <c r="Q38" i="1"/>
  <c r="AX69" i="1"/>
  <c r="Q41" i="1"/>
  <c r="AX72" i="1"/>
  <c r="R52" i="1"/>
  <c r="AY83" i="1"/>
  <c r="Q37" i="1"/>
  <c r="AX68" i="1"/>
  <c r="Q54" i="1"/>
  <c r="AX85" i="1"/>
  <c r="Q48" i="1"/>
  <c r="AX79" i="1"/>
  <c r="P40" i="1"/>
  <c r="AW71" i="1"/>
  <c r="R62" i="1"/>
  <c r="AY93" i="1"/>
  <c r="Q46" i="1"/>
  <c r="AX77" i="1"/>
  <c r="Q33" i="1"/>
  <c r="AX64" i="1"/>
  <c r="Q42" i="1"/>
  <c r="AX73" i="1"/>
  <c r="R36" i="1"/>
  <c r="AY67" i="1"/>
  <c r="Q34" i="1"/>
  <c r="AX65" i="1"/>
  <c r="Q59" i="1"/>
  <c r="AX90" i="1"/>
  <c r="Q55" i="1"/>
  <c r="AX86" i="1"/>
  <c r="Q58" i="1"/>
  <c r="AX89" i="1"/>
  <c r="Q57" i="1"/>
  <c r="AX88" i="1"/>
  <c r="Q39" i="1"/>
  <c r="AX70" i="1"/>
  <c r="Q50" i="1"/>
  <c r="AX81" i="1"/>
  <c r="R45" i="1"/>
  <c r="AY76" i="1"/>
  <c r="R51" i="1"/>
  <c r="AY82" i="1"/>
  <c r="R43" i="1"/>
  <c r="AY74" i="1"/>
  <c r="Q61" i="1"/>
  <c r="AX92" i="1"/>
  <c r="DJ92" i="1" s="1"/>
  <c r="Q56" i="1"/>
  <c r="AX87" i="1"/>
  <c r="Q49" i="1"/>
  <c r="AX80" i="1"/>
  <c r="R53" i="1"/>
  <c r="AY84" i="1"/>
  <c r="R44" i="1"/>
  <c r="AY75" i="1"/>
  <c r="Z19" i="2"/>
  <c r="AA20" i="2"/>
  <c r="BR73" i="1"/>
  <c r="DK84" i="1" l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P49" i="1"/>
  <c r="AW80" i="1"/>
  <c r="Q51" i="1"/>
  <c r="AX82" i="1"/>
  <c r="P57" i="1"/>
  <c r="AW88" i="1"/>
  <c r="P46" i="1"/>
  <c r="AW77" i="1"/>
  <c r="Q36" i="1"/>
  <c r="AX67" i="1"/>
  <c r="Q62" i="1"/>
  <c r="AX93" i="1"/>
  <c r="P37" i="1"/>
  <c r="AW68" i="1"/>
  <c r="Q60" i="1"/>
  <c r="AX91" i="1"/>
  <c r="DJ91" i="1" s="1"/>
  <c r="DJ90" i="1" s="1"/>
  <c r="DJ89" i="1" s="1"/>
  <c r="DJ88" i="1" s="1"/>
  <c r="DJ87" i="1" s="1"/>
  <c r="DJ86" i="1" s="1"/>
  <c r="DJ85" i="1" s="1"/>
  <c r="P34" i="1"/>
  <c r="AW65" i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P58" i="1"/>
  <c r="AW89" i="1"/>
  <c r="P61" i="1"/>
  <c r="AW92" i="1"/>
  <c r="DI92" i="1" s="1"/>
  <c r="P50" i="1"/>
  <c r="AW81" i="1"/>
  <c r="P55" i="1"/>
  <c r="AW86" i="1"/>
  <c r="P42" i="1"/>
  <c r="AW73" i="1"/>
  <c r="O40" i="1"/>
  <c r="AV71" i="1"/>
  <c r="Q52" i="1"/>
  <c r="AX83" i="1"/>
  <c r="P47" i="1"/>
  <c r="AW78" i="1"/>
  <c r="P54" i="1"/>
  <c r="AW85" i="1"/>
  <c r="Q45" i="1"/>
  <c r="AX76" i="1"/>
  <c r="Q53" i="1"/>
  <c r="AX84" i="1"/>
  <c r="Q43" i="1"/>
  <c r="AX74" i="1"/>
  <c r="P39" i="1"/>
  <c r="AW70" i="1"/>
  <c r="P38" i="1"/>
  <c r="AW69" i="1"/>
  <c r="P56" i="1"/>
  <c r="AW87" i="1"/>
  <c r="P59" i="1"/>
  <c r="AW90" i="1"/>
  <c r="P33" i="1"/>
  <c r="AW64" i="1"/>
  <c r="P48" i="1"/>
  <c r="AW79" i="1"/>
  <c r="P41" i="1"/>
  <c r="AW72" i="1"/>
  <c r="Q35" i="1"/>
  <c r="AX66" i="1"/>
  <c r="Q44" i="1"/>
  <c r="AX75" i="1"/>
  <c r="AA19" i="2"/>
  <c r="BR72" i="1"/>
  <c r="DK64" i="1" l="1"/>
  <c r="S64" i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DJ84" i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DJ64" i="1" s="1"/>
  <c r="O48" i="1"/>
  <c r="AV79" i="1"/>
  <c r="O37" i="1"/>
  <c r="AV68" i="1"/>
  <c r="N40" i="1"/>
  <c r="AU71" i="1"/>
  <c r="O33" i="1"/>
  <c r="AV64" i="1"/>
  <c r="O39" i="1"/>
  <c r="AV70" i="1"/>
  <c r="O54" i="1"/>
  <c r="AV85" i="1"/>
  <c r="O42" i="1"/>
  <c r="AV73" i="1"/>
  <c r="O58" i="1"/>
  <c r="AV89" i="1"/>
  <c r="O57" i="1"/>
  <c r="AV88" i="1"/>
  <c r="P62" i="1"/>
  <c r="AW93" i="1"/>
  <c r="O38" i="1"/>
  <c r="AV69" i="1"/>
  <c r="O46" i="1"/>
  <c r="AV77" i="1"/>
  <c r="P35" i="1"/>
  <c r="AW66" i="1"/>
  <c r="O59" i="1"/>
  <c r="AV90" i="1"/>
  <c r="P43" i="1"/>
  <c r="AW74" i="1"/>
  <c r="O47" i="1"/>
  <c r="AV78" i="1"/>
  <c r="O55" i="1"/>
  <c r="AV86" i="1"/>
  <c r="P51" i="1"/>
  <c r="AW82" i="1"/>
  <c r="O34" i="1"/>
  <c r="AV65" i="1"/>
  <c r="P36" i="1"/>
  <c r="AW67" i="1"/>
  <c r="O61" i="1"/>
  <c r="AV92" i="1"/>
  <c r="DH92" i="1" s="1"/>
  <c r="O41" i="1"/>
  <c r="AV72" i="1"/>
  <c r="O56" i="1"/>
  <c r="AV87" i="1"/>
  <c r="P53" i="1"/>
  <c r="AW84" i="1"/>
  <c r="P52" i="1"/>
  <c r="AW83" i="1"/>
  <c r="O50" i="1"/>
  <c r="AV81" i="1"/>
  <c r="O49" i="1"/>
  <c r="AV80" i="1"/>
  <c r="P45" i="1"/>
  <c r="AW76" i="1"/>
  <c r="P60" i="1"/>
  <c r="AW91" i="1"/>
  <c r="DI91" i="1" s="1"/>
  <c r="DI90" i="1" s="1"/>
  <c r="DI89" i="1" s="1"/>
  <c r="DI88" i="1" s="1"/>
  <c r="DI87" i="1" s="1"/>
  <c r="DI86" i="1" s="1"/>
  <c r="DI85" i="1" s="1"/>
  <c r="P44" i="1"/>
  <c r="AW75" i="1"/>
  <c r="AB19" i="2"/>
  <c r="AB20" i="2"/>
  <c r="AC20" i="2" s="1"/>
  <c r="BR71" i="1"/>
  <c r="DI84" i="1" l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DI64" i="1" s="1"/>
  <c r="O45" i="1"/>
  <c r="AV76" i="1"/>
  <c r="O53" i="1"/>
  <c r="AV84" i="1"/>
  <c r="O36" i="1"/>
  <c r="AV67" i="1"/>
  <c r="N47" i="1"/>
  <c r="AU78" i="1"/>
  <c r="N46" i="1"/>
  <c r="AU77" i="1"/>
  <c r="N58" i="1"/>
  <c r="AU89" i="1"/>
  <c r="N33" i="1"/>
  <c r="AU64" i="1"/>
  <c r="R64" i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N56" i="1"/>
  <c r="AU87" i="1"/>
  <c r="O43" i="1"/>
  <c r="AV74" i="1"/>
  <c r="N42" i="1"/>
  <c r="AU73" i="1"/>
  <c r="N49" i="1"/>
  <c r="AU80" i="1"/>
  <c r="N34" i="1"/>
  <c r="AU65" i="1"/>
  <c r="N38" i="1"/>
  <c r="AU69" i="1"/>
  <c r="M40" i="1"/>
  <c r="AT71" i="1"/>
  <c r="O60" i="1"/>
  <c r="AV91" i="1"/>
  <c r="DH91" i="1" s="1"/>
  <c r="DH90" i="1" s="1"/>
  <c r="DH89" i="1" s="1"/>
  <c r="DH88" i="1" s="1"/>
  <c r="DH87" i="1" s="1"/>
  <c r="DH86" i="1" s="1"/>
  <c r="DH85" i="1" s="1"/>
  <c r="N50" i="1"/>
  <c r="AU81" i="1"/>
  <c r="N41" i="1"/>
  <c r="AU72" i="1"/>
  <c r="O51" i="1"/>
  <c r="AV82" i="1"/>
  <c r="N59" i="1"/>
  <c r="AU90" i="1"/>
  <c r="O62" i="1"/>
  <c r="AV93" i="1"/>
  <c r="N54" i="1"/>
  <c r="AU85" i="1"/>
  <c r="N37" i="1"/>
  <c r="AU68" i="1"/>
  <c r="O52" i="1"/>
  <c r="AV83" i="1"/>
  <c r="N61" i="1"/>
  <c r="AU92" i="1"/>
  <c r="DG92" i="1" s="1"/>
  <c r="N55" i="1"/>
  <c r="AU86" i="1"/>
  <c r="O35" i="1"/>
  <c r="AV66" i="1"/>
  <c r="N57" i="1"/>
  <c r="AU88" i="1"/>
  <c r="N39" i="1"/>
  <c r="AU70" i="1"/>
  <c r="N48" i="1"/>
  <c r="AU79" i="1"/>
  <c r="O44" i="1"/>
  <c r="AV75" i="1"/>
  <c r="AC19" i="2"/>
  <c r="AD20" i="2"/>
  <c r="BR70" i="1"/>
  <c r="DH84" i="1" l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M47" i="1"/>
  <c r="AT78" i="1"/>
  <c r="M59" i="1"/>
  <c r="AT90" i="1"/>
  <c r="N51" i="1"/>
  <c r="AU82" i="1"/>
  <c r="M42" i="1"/>
  <c r="AT73" i="1"/>
  <c r="M57" i="1"/>
  <c r="AT88" i="1"/>
  <c r="M56" i="1"/>
  <c r="AT87" i="1"/>
  <c r="M37" i="1"/>
  <c r="AT68" i="1"/>
  <c r="M38" i="1"/>
  <c r="AT69" i="1"/>
  <c r="M58" i="1"/>
  <c r="AT89" i="1"/>
  <c r="N53" i="1"/>
  <c r="AU84" i="1"/>
  <c r="M49" i="1"/>
  <c r="AT80" i="1"/>
  <c r="N35" i="1"/>
  <c r="AU66" i="1"/>
  <c r="L40" i="1"/>
  <c r="AS71" i="1"/>
  <c r="N36" i="1"/>
  <c r="AU67" i="1"/>
  <c r="M55" i="1"/>
  <c r="AT86" i="1"/>
  <c r="M41" i="1"/>
  <c r="AT72" i="1"/>
  <c r="M39" i="1"/>
  <c r="AT70" i="1"/>
  <c r="M61" i="1"/>
  <c r="AT92" i="1"/>
  <c r="DF92" i="1" s="1"/>
  <c r="N43" i="1"/>
  <c r="AU74" i="1"/>
  <c r="N52" i="1"/>
  <c r="AU83" i="1"/>
  <c r="Q64" i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N60" i="1"/>
  <c r="AU91" i="1"/>
  <c r="DG91" i="1" s="1"/>
  <c r="DG90" i="1" s="1"/>
  <c r="DG89" i="1" s="1"/>
  <c r="DG88" i="1" s="1"/>
  <c r="DG87" i="1" s="1"/>
  <c r="DG86" i="1" s="1"/>
  <c r="DG85" i="1" s="1"/>
  <c r="M33" i="1"/>
  <c r="AT64" i="1"/>
  <c r="M48" i="1"/>
  <c r="AT79" i="1"/>
  <c r="M54" i="1"/>
  <c r="AT85" i="1"/>
  <c r="N62" i="1"/>
  <c r="AU93" i="1"/>
  <c r="M50" i="1"/>
  <c r="AT81" i="1"/>
  <c r="M34" i="1"/>
  <c r="AT65" i="1"/>
  <c r="M46" i="1"/>
  <c r="AT77" i="1"/>
  <c r="N45" i="1"/>
  <c r="AU76" i="1"/>
  <c r="N44" i="1"/>
  <c r="AU75" i="1"/>
  <c r="AD19" i="2"/>
  <c r="BR69" i="1"/>
  <c r="DG84" i="1" l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DG64" i="1" s="1"/>
  <c r="L34" i="1"/>
  <c r="AS65" i="1"/>
  <c r="M52" i="1"/>
  <c r="AT83" i="1"/>
  <c r="L41" i="1"/>
  <c r="AS72" i="1"/>
  <c r="M35" i="1"/>
  <c r="AT66" i="1"/>
  <c r="L38" i="1"/>
  <c r="AS69" i="1"/>
  <c r="L48" i="1"/>
  <c r="AS79" i="1"/>
  <c r="L42" i="1"/>
  <c r="AS73" i="1"/>
  <c r="DH64" i="1"/>
  <c r="M43" i="1"/>
  <c r="AT74" i="1"/>
  <c r="L55" i="1"/>
  <c r="AS86" i="1"/>
  <c r="L49" i="1"/>
  <c r="AS80" i="1"/>
  <c r="L33" i="1"/>
  <c r="AS64" i="1"/>
  <c r="L37" i="1"/>
  <c r="AS68" i="1"/>
  <c r="M51" i="1"/>
  <c r="AT82" i="1"/>
  <c r="M62" i="1"/>
  <c r="AT93" i="1"/>
  <c r="L61" i="1"/>
  <c r="AS92" i="1"/>
  <c r="DE92" i="1" s="1"/>
  <c r="M36" i="1"/>
  <c r="AT67" i="1"/>
  <c r="M53" i="1"/>
  <c r="AT84" i="1"/>
  <c r="M60" i="1"/>
  <c r="AT91" i="1"/>
  <c r="DF91" i="1" s="1"/>
  <c r="DF90" i="1" s="1"/>
  <c r="DF89" i="1" s="1"/>
  <c r="DF88" i="1" s="1"/>
  <c r="DF87" i="1" s="1"/>
  <c r="DF86" i="1" s="1"/>
  <c r="DF85" i="1" s="1"/>
  <c r="L56" i="1"/>
  <c r="AS87" i="1"/>
  <c r="L59" i="1"/>
  <c r="AS90" i="1"/>
  <c r="L50" i="1"/>
  <c r="AS81" i="1"/>
  <c r="M45" i="1"/>
  <c r="AT76" i="1"/>
  <c r="L46" i="1"/>
  <c r="AS77" i="1"/>
  <c r="L39" i="1"/>
  <c r="AS70" i="1"/>
  <c r="K40" i="1"/>
  <c r="AR71" i="1"/>
  <c r="L58" i="1"/>
  <c r="AS89" i="1"/>
  <c r="L54" i="1"/>
  <c r="AS85" i="1"/>
  <c r="L57" i="1"/>
  <c r="AS88" i="1"/>
  <c r="L47" i="1"/>
  <c r="AS78" i="1"/>
  <c r="M44" i="1"/>
  <c r="AT75" i="1"/>
  <c r="AE19" i="2"/>
  <c r="AE20" i="2"/>
  <c r="AF20" i="2" s="1"/>
  <c r="BR68" i="1"/>
  <c r="DF84" i="1" l="1"/>
  <c r="DF83" i="1" s="1"/>
  <c r="DF82" i="1" s="1"/>
  <c r="DF81" i="1" s="1"/>
  <c r="DF80" i="1" s="1"/>
  <c r="DF79" i="1" s="1"/>
  <c r="DF78" i="1" s="1"/>
  <c r="DF77" i="1" s="1"/>
  <c r="DF76" i="1" s="1"/>
  <c r="L35" i="1"/>
  <c r="AS66" i="1"/>
  <c r="K33" i="1"/>
  <c r="AR64" i="1"/>
  <c r="K61" i="1"/>
  <c r="AR92" i="1"/>
  <c r="DD92" i="1" s="1"/>
  <c r="L45" i="1"/>
  <c r="AS76" i="1"/>
  <c r="L62" i="1"/>
  <c r="AS93" i="1"/>
  <c r="K42" i="1"/>
  <c r="AR73" i="1"/>
  <c r="K41" i="1"/>
  <c r="AR72" i="1"/>
  <c r="O64" i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K56" i="1"/>
  <c r="AR87" i="1"/>
  <c r="K47" i="1"/>
  <c r="AR78" i="1"/>
  <c r="K49" i="1"/>
  <c r="AR80" i="1"/>
  <c r="L43" i="1"/>
  <c r="AS74" i="1"/>
  <c r="K46" i="1"/>
  <c r="AR77" i="1"/>
  <c r="L60" i="1"/>
  <c r="AS91" i="1"/>
  <c r="DE91" i="1" s="1"/>
  <c r="DE90" i="1" s="1"/>
  <c r="DE89" i="1" s="1"/>
  <c r="DE88" i="1" s="1"/>
  <c r="DE87" i="1" s="1"/>
  <c r="DE86" i="1" s="1"/>
  <c r="DE85" i="1" s="1"/>
  <c r="J40" i="1"/>
  <c r="AQ71" i="1"/>
  <c r="K50" i="1"/>
  <c r="AR81" i="1"/>
  <c r="L53" i="1"/>
  <c r="AS84" i="1"/>
  <c r="L51" i="1"/>
  <c r="AS82" i="1"/>
  <c r="K48" i="1"/>
  <c r="AR79" i="1"/>
  <c r="L52" i="1"/>
  <c r="AS83" i="1"/>
  <c r="K54" i="1"/>
  <c r="AR85" i="1"/>
  <c r="K57" i="1"/>
  <c r="AR88" i="1"/>
  <c r="K55" i="1"/>
  <c r="AR86" i="1"/>
  <c r="K58" i="1"/>
  <c r="AR89" i="1"/>
  <c r="DF75" i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DF64" i="1" s="1"/>
  <c r="K39" i="1"/>
  <c r="AR70" i="1"/>
  <c r="K59" i="1"/>
  <c r="AR90" i="1"/>
  <c r="L36" i="1"/>
  <c r="AS67" i="1"/>
  <c r="K37" i="1"/>
  <c r="AR68" i="1"/>
  <c r="K38" i="1"/>
  <c r="AR69" i="1"/>
  <c r="K34" i="1"/>
  <c r="AR65" i="1"/>
  <c r="L44" i="1"/>
  <c r="AS75" i="1"/>
  <c r="AF19" i="2"/>
  <c r="BR67" i="1"/>
  <c r="DE84" i="1" l="1"/>
  <c r="N64" i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DE83" i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DE64" i="1" s="1"/>
  <c r="K43" i="1"/>
  <c r="AR74" i="1"/>
  <c r="K36" i="1"/>
  <c r="AR67" i="1"/>
  <c r="K52" i="1"/>
  <c r="AR83" i="1"/>
  <c r="K45" i="1"/>
  <c r="AR76" i="1"/>
  <c r="J48" i="1"/>
  <c r="AQ79" i="1"/>
  <c r="J49" i="1"/>
  <c r="AQ80" i="1"/>
  <c r="J61" i="1"/>
  <c r="AQ92" i="1"/>
  <c r="DC92" i="1" s="1"/>
  <c r="J59" i="1"/>
  <c r="AQ90" i="1"/>
  <c r="J57" i="1"/>
  <c r="AQ88" i="1"/>
  <c r="K51" i="1"/>
  <c r="AR82" i="1"/>
  <c r="K60" i="1"/>
  <c r="AR91" i="1"/>
  <c r="DD91" i="1" s="1"/>
  <c r="DD90" i="1" s="1"/>
  <c r="DD89" i="1" s="1"/>
  <c r="DD88" i="1" s="1"/>
  <c r="DD87" i="1" s="1"/>
  <c r="DD86" i="1" s="1"/>
  <c r="DD85" i="1" s="1"/>
  <c r="J47" i="1"/>
  <c r="AQ78" i="1"/>
  <c r="J42" i="1"/>
  <c r="AQ73" i="1"/>
  <c r="J33" i="1"/>
  <c r="AQ64" i="1"/>
  <c r="J41" i="1"/>
  <c r="AQ72" i="1"/>
  <c r="J34" i="1"/>
  <c r="AQ65" i="1"/>
  <c r="J38" i="1"/>
  <c r="AQ69" i="1"/>
  <c r="J39" i="1"/>
  <c r="AQ70" i="1"/>
  <c r="J37" i="1"/>
  <c r="AQ68" i="1"/>
  <c r="J58" i="1"/>
  <c r="AQ89" i="1"/>
  <c r="J50" i="1"/>
  <c r="AQ81" i="1"/>
  <c r="J55" i="1"/>
  <c r="AQ86" i="1"/>
  <c r="I40" i="1"/>
  <c r="AP71" i="1"/>
  <c r="J54" i="1"/>
  <c r="AQ85" i="1"/>
  <c r="K53" i="1"/>
  <c r="AR84" i="1"/>
  <c r="J46" i="1"/>
  <c r="AQ77" i="1"/>
  <c r="J56" i="1"/>
  <c r="AQ87" i="1"/>
  <c r="K62" i="1"/>
  <c r="AR93" i="1"/>
  <c r="K35" i="1"/>
  <c r="AR66" i="1"/>
  <c r="K44" i="1"/>
  <c r="AR75" i="1"/>
  <c r="AG19" i="2"/>
  <c r="AG20" i="2"/>
  <c r="AH20" i="2" s="1"/>
  <c r="BR66" i="1"/>
  <c r="DD84" i="1" l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J45" i="1"/>
  <c r="AQ76" i="1"/>
  <c r="M64" i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H40" i="1"/>
  <c r="AO71" i="1"/>
  <c r="I37" i="1"/>
  <c r="AP68" i="1"/>
  <c r="I41" i="1"/>
  <c r="AP72" i="1"/>
  <c r="J60" i="1"/>
  <c r="AQ91" i="1"/>
  <c r="DC91" i="1" s="1"/>
  <c r="DC90" i="1" s="1"/>
  <c r="DC89" i="1" s="1"/>
  <c r="DC88" i="1" s="1"/>
  <c r="DC87" i="1" s="1"/>
  <c r="DC86" i="1" s="1"/>
  <c r="DC85" i="1" s="1"/>
  <c r="I61" i="1"/>
  <c r="AP92" i="1"/>
  <c r="DB92" i="1" s="1"/>
  <c r="J52" i="1"/>
  <c r="AQ83" i="1"/>
  <c r="I58" i="1"/>
  <c r="AP89" i="1"/>
  <c r="I55" i="1"/>
  <c r="AP86" i="1"/>
  <c r="I39" i="1"/>
  <c r="AP70" i="1"/>
  <c r="I33" i="1"/>
  <c r="AP64" i="1"/>
  <c r="J51" i="1"/>
  <c r="AQ82" i="1"/>
  <c r="I49" i="1"/>
  <c r="AP80" i="1"/>
  <c r="I59" i="1"/>
  <c r="AP90" i="1"/>
  <c r="I56" i="1"/>
  <c r="AP87" i="1"/>
  <c r="J35" i="1"/>
  <c r="AQ66" i="1"/>
  <c r="J53" i="1"/>
  <c r="AQ84" i="1"/>
  <c r="J36" i="1"/>
  <c r="AQ67" i="1"/>
  <c r="I47" i="1"/>
  <c r="AP78" i="1"/>
  <c r="I46" i="1"/>
  <c r="AP77" i="1"/>
  <c r="I50" i="1"/>
  <c r="AP81" i="1"/>
  <c r="I38" i="1"/>
  <c r="AP69" i="1"/>
  <c r="I42" i="1"/>
  <c r="AP73" i="1"/>
  <c r="I57" i="1"/>
  <c r="AP88" i="1"/>
  <c r="I48" i="1"/>
  <c r="AP79" i="1"/>
  <c r="I34" i="1"/>
  <c r="AP65" i="1"/>
  <c r="J62" i="1"/>
  <c r="AQ93" i="1"/>
  <c r="I54" i="1"/>
  <c r="AP85" i="1"/>
  <c r="J43" i="1"/>
  <c r="AQ74" i="1"/>
  <c r="J44" i="1"/>
  <c r="AQ75" i="1"/>
  <c r="AH19" i="2"/>
  <c r="AI20" i="2"/>
  <c r="BR65" i="1"/>
  <c r="DC84" i="1" l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H42" i="1"/>
  <c r="AO73" i="1"/>
  <c r="H33" i="1"/>
  <c r="AO64" i="1"/>
  <c r="DD64" i="1"/>
  <c r="I62" i="1"/>
  <c r="AP93" i="1"/>
  <c r="H56" i="1"/>
  <c r="AO87" i="1"/>
  <c r="H37" i="1"/>
  <c r="AO68" i="1"/>
  <c r="H38" i="1"/>
  <c r="AO69" i="1"/>
  <c r="H39" i="1"/>
  <c r="AO70" i="1"/>
  <c r="I43" i="1"/>
  <c r="AP74" i="1"/>
  <c r="H48" i="1"/>
  <c r="AO79" i="1"/>
  <c r="H50" i="1"/>
  <c r="AO81" i="1"/>
  <c r="I53" i="1"/>
  <c r="AP84" i="1"/>
  <c r="H49" i="1"/>
  <c r="AO80" i="1"/>
  <c r="H55" i="1"/>
  <c r="AO86" i="1"/>
  <c r="I60" i="1"/>
  <c r="AP91" i="1"/>
  <c r="DB91" i="1" s="1"/>
  <c r="DB90" i="1" s="1"/>
  <c r="DB89" i="1" s="1"/>
  <c r="DB88" i="1" s="1"/>
  <c r="DB87" i="1" s="1"/>
  <c r="DB86" i="1" s="1"/>
  <c r="DB85" i="1" s="1"/>
  <c r="H59" i="1"/>
  <c r="AO90" i="1"/>
  <c r="H61" i="1"/>
  <c r="AO92" i="1"/>
  <c r="DA92" i="1" s="1"/>
  <c r="H54" i="1"/>
  <c r="AO85" i="1"/>
  <c r="I45" i="1"/>
  <c r="AP76" i="1"/>
  <c r="H47" i="1"/>
  <c r="AO78" i="1"/>
  <c r="I52" i="1"/>
  <c r="AP83" i="1"/>
  <c r="H34" i="1"/>
  <c r="AO65" i="1"/>
  <c r="I36" i="1"/>
  <c r="AP67" i="1"/>
  <c r="G40" i="1"/>
  <c r="AM71" i="1" s="1"/>
  <c r="AN71" i="1"/>
  <c r="H57" i="1"/>
  <c r="AO88" i="1"/>
  <c r="H46" i="1"/>
  <c r="AO77" i="1"/>
  <c r="I35" i="1"/>
  <c r="AP66" i="1"/>
  <c r="I51" i="1"/>
  <c r="AP82" i="1"/>
  <c r="H58" i="1"/>
  <c r="AO89" i="1"/>
  <c r="H41" i="1"/>
  <c r="AO72" i="1"/>
  <c r="I44" i="1"/>
  <c r="AP75" i="1"/>
  <c r="AI19" i="2"/>
  <c r="AI15" i="2" s="1"/>
  <c r="AH15" i="2" s="1"/>
  <c r="AG15" i="2" s="1"/>
  <c r="AF15" i="2" s="1"/>
  <c r="AE15" i="2" s="1"/>
  <c r="AD15" i="2" s="1"/>
  <c r="AC15" i="2" s="1"/>
  <c r="AB15" i="2" s="1"/>
  <c r="AA15" i="2" s="1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F15" i="2" s="1"/>
  <c r="BR64" i="1"/>
  <c r="DB84" i="1" l="1"/>
  <c r="DB83" i="1" s="1"/>
  <c r="DB82" i="1" s="1"/>
  <c r="DB81" i="1" s="1"/>
  <c r="DB80" i="1" s="1"/>
  <c r="DB79" i="1" s="1"/>
  <c r="DB78" i="1" s="1"/>
  <c r="DB77" i="1" s="1"/>
  <c r="DB76" i="1" s="1"/>
  <c r="G59" i="1"/>
  <c r="AM90" i="1" s="1"/>
  <c r="AN90" i="1"/>
  <c r="H53" i="1"/>
  <c r="AO84" i="1"/>
  <c r="G39" i="1"/>
  <c r="AM70" i="1" s="1"/>
  <c r="AN70" i="1"/>
  <c r="H62" i="1"/>
  <c r="AO93" i="1"/>
  <c r="H51" i="1"/>
  <c r="AO82" i="1"/>
  <c r="DC64" i="1"/>
  <c r="H35" i="1"/>
  <c r="AO66" i="1"/>
  <c r="H36" i="1"/>
  <c r="AO67" i="1"/>
  <c r="G50" i="1"/>
  <c r="AM81" i="1" s="1"/>
  <c r="AN81" i="1"/>
  <c r="G46" i="1"/>
  <c r="AM77" i="1" s="1"/>
  <c r="AN77" i="1"/>
  <c r="G34" i="1"/>
  <c r="AM65" i="1" s="1"/>
  <c r="AN65" i="1"/>
  <c r="G41" i="1"/>
  <c r="AM72" i="1" s="1"/>
  <c r="AN72" i="1"/>
  <c r="G54" i="1"/>
  <c r="AM85" i="1" s="1"/>
  <c r="AN85" i="1"/>
  <c r="G55" i="1"/>
  <c r="AM86" i="1" s="1"/>
  <c r="AN86" i="1"/>
  <c r="G48" i="1"/>
  <c r="AM79" i="1" s="1"/>
  <c r="AN79" i="1"/>
  <c r="G37" i="1"/>
  <c r="AM68" i="1" s="1"/>
  <c r="AN68" i="1"/>
  <c r="G33" i="1"/>
  <c r="AM64" i="1" s="1"/>
  <c r="AN64" i="1"/>
  <c r="G57" i="1"/>
  <c r="AM88" i="1" s="1"/>
  <c r="AN88" i="1"/>
  <c r="H52" i="1"/>
  <c r="AO83" i="1"/>
  <c r="G47" i="1"/>
  <c r="AM78" i="1" s="1"/>
  <c r="AN78" i="1"/>
  <c r="H45" i="1"/>
  <c r="AO76" i="1"/>
  <c r="H60" i="1"/>
  <c r="AO91" i="1"/>
  <c r="DA91" i="1" s="1"/>
  <c r="DA90" i="1" s="1"/>
  <c r="DA89" i="1" s="1"/>
  <c r="DA88" i="1" s="1"/>
  <c r="DA87" i="1" s="1"/>
  <c r="DA86" i="1" s="1"/>
  <c r="DA85" i="1" s="1"/>
  <c r="G38" i="1"/>
  <c r="AM69" i="1" s="1"/>
  <c r="AN69" i="1"/>
  <c r="G58" i="1"/>
  <c r="AM89" i="1" s="1"/>
  <c r="AN89" i="1"/>
  <c r="DB75" i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DB64" i="1" s="1"/>
  <c r="G61" i="1"/>
  <c r="AM92" i="1" s="1"/>
  <c r="CY92" i="1" s="1"/>
  <c r="AN92" i="1"/>
  <c r="CZ92" i="1" s="1"/>
  <c r="G49" i="1"/>
  <c r="AM80" i="1" s="1"/>
  <c r="AN80" i="1"/>
  <c r="H43" i="1"/>
  <c r="AO74" i="1"/>
  <c r="G56" i="1"/>
  <c r="AM87" i="1" s="1"/>
  <c r="AN87" i="1"/>
  <c r="G42" i="1"/>
  <c r="AM73" i="1" s="1"/>
  <c r="AN73" i="1"/>
  <c r="H44" i="1"/>
  <c r="AO75" i="1"/>
  <c r="BS92" i="1"/>
  <c r="DA84" i="1" l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DA64" i="1" s="1"/>
  <c r="G36" i="1"/>
  <c r="AM67" i="1" s="1"/>
  <c r="AN67" i="1"/>
  <c r="J64" i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G62" i="1"/>
  <c r="AM93" i="1" s="1"/>
  <c r="AN93" i="1"/>
  <c r="G52" i="1"/>
  <c r="AM83" i="1" s="1"/>
  <c r="AN83" i="1"/>
  <c r="G35" i="1"/>
  <c r="AM66" i="1" s="1"/>
  <c r="AN66" i="1"/>
  <c r="G43" i="1"/>
  <c r="AM74" i="1" s="1"/>
  <c r="AN74" i="1"/>
  <c r="G60" i="1"/>
  <c r="AM91" i="1" s="1"/>
  <c r="CY91" i="1" s="1"/>
  <c r="CY90" i="1" s="1"/>
  <c r="CY89" i="1" s="1"/>
  <c r="CY88" i="1" s="1"/>
  <c r="CY87" i="1" s="1"/>
  <c r="CY86" i="1" s="1"/>
  <c r="CY85" i="1" s="1"/>
  <c r="AN91" i="1"/>
  <c r="CZ91" i="1" s="1"/>
  <c r="CZ90" i="1" s="1"/>
  <c r="CZ89" i="1" s="1"/>
  <c r="CZ88" i="1" s="1"/>
  <c r="CZ87" i="1" s="1"/>
  <c r="CZ86" i="1" s="1"/>
  <c r="CZ85" i="1" s="1"/>
  <c r="G53" i="1"/>
  <c r="AM84" i="1" s="1"/>
  <c r="AN84" i="1"/>
  <c r="G45" i="1"/>
  <c r="AM76" i="1" s="1"/>
  <c r="AN76" i="1"/>
  <c r="G51" i="1"/>
  <c r="AM82" i="1" s="1"/>
  <c r="AN82" i="1"/>
  <c r="G44" i="1"/>
  <c r="AM75" i="1" s="1"/>
  <c r="AN75" i="1"/>
  <c r="BS91" i="1"/>
  <c r="CZ84" i="1" l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CZ64" i="1" s="1"/>
  <c r="CY84" i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CY64" i="1" s="1"/>
  <c r="I64" i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BS90" i="1"/>
  <c r="G64" i="1" l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H64" i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BS89" i="1"/>
  <c r="BS88" i="1" l="1"/>
  <c r="BS87" i="1" l="1"/>
  <c r="BS86" i="1" l="1"/>
  <c r="BS85" i="1" l="1"/>
  <c r="BS84" i="1" l="1"/>
  <c r="BS83" i="1" l="1"/>
  <c r="BS82" i="1" l="1"/>
  <c r="BS81" i="1" l="1"/>
  <c r="BS80" i="1" l="1"/>
  <c r="BS79" i="1" l="1"/>
  <c r="BS78" i="1" l="1"/>
  <c r="BS77" i="1" l="1"/>
  <c r="BS76" i="1" l="1"/>
  <c r="BS75" i="1" l="1"/>
  <c r="BS74" i="1" l="1"/>
  <c r="BS73" i="1" l="1"/>
  <c r="BS72" i="1" l="1"/>
  <c r="BS71" i="1" l="1"/>
  <c r="BS70" i="1" l="1"/>
  <c r="BS69" i="1" l="1"/>
  <c r="BS68" i="1" l="1"/>
  <c r="BS67" i="1" l="1"/>
  <c r="BS66" i="1" l="1"/>
  <c r="BS65" i="1" l="1"/>
  <c r="BS64" i="1" l="1"/>
</calcChain>
</file>

<file path=xl/sharedStrings.xml><?xml version="1.0" encoding="utf-8"?>
<sst xmlns="http://schemas.openxmlformats.org/spreadsheetml/2006/main" count="52" uniqueCount="36">
  <si>
    <t>L</t>
  </si>
  <si>
    <t>H</t>
  </si>
  <si>
    <t>dx</t>
  </si>
  <si>
    <t>dy</t>
  </si>
  <si>
    <t>t</t>
  </si>
  <si>
    <t>dt</t>
  </si>
  <si>
    <t>Cp</t>
  </si>
  <si>
    <t>Ro</t>
  </si>
  <si>
    <t>Lamda</t>
  </si>
  <si>
    <t>T_Start</t>
  </si>
  <si>
    <t>T_end</t>
  </si>
  <si>
    <t>A</t>
  </si>
  <si>
    <t>B</t>
  </si>
  <si>
    <t>C</t>
  </si>
  <si>
    <t>X</t>
  </si>
  <si>
    <t>Y</t>
  </si>
  <si>
    <t>расчетной</t>
  </si>
  <si>
    <t>области</t>
  </si>
  <si>
    <t>и решателя</t>
  </si>
  <si>
    <t>Параметры</t>
  </si>
  <si>
    <t>Физические параметры</t>
  </si>
  <si>
    <t>Г.У.</t>
  </si>
  <si>
    <t>n+0,5</t>
  </si>
  <si>
    <t>Fi</t>
  </si>
  <si>
    <t>Alpha</t>
  </si>
  <si>
    <t>Beta</t>
  </si>
  <si>
    <t>n+1</t>
  </si>
  <si>
    <t>ro</t>
  </si>
  <si>
    <t>lamda</t>
  </si>
  <si>
    <t>T</t>
  </si>
  <si>
    <t>T_start</t>
  </si>
  <si>
    <t>T_iter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</si>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</sst>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\ _₽_-;\-* #,##0.00\ _₽_-;_-* &quot;-&quot;??\ _₽_-;_-@_-"/>
    <numFmt numFmtId="164" formatCode="0.0000"/>
    <numFmt numFmtId="165" formatCode="0.0"/>
    <numFmt numFmtId="166" formatCode="0E+00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7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</cellStyleXfs>
  <cellXfs count="23">
    <xf numFmtId="0" fontId="0" fillId="0" borderId="0" xfId="0"/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3" xfId="0" applyNumberFormat="1" applyBorder="1"/>
    <xf numFmtId="0" fontId="3" fillId="3" borderId="1" xfId="3"/>
    <xf numFmtId="2" fontId="3" fillId="3" borderId="1" xfId="3" applyNumberFormat="1"/>
    <xf numFmtId="0" fontId="3" fillId="3" borderId="7" xfId="3" applyBorder="1"/>
    <xf numFmtId="2" fontId="3" fillId="3" borderId="7" xfId="3" applyNumberFormat="1" applyBorder="1"/>
    <xf numFmtId="165" fontId="2" fillId="2" borderId="3" xfId="2" applyNumberFormat="1" applyBorder="1"/>
    <xf numFmtId="165" fontId="0" fillId="0" borderId="3" xfId="0" applyNumberFormat="1" applyBorder="1"/>
    <xf numFmtId="166" fontId="0" fillId="0" borderId="3" xfId="0" applyNumberFormat="1" applyBorder="1"/>
    <xf numFmtId="166" fontId="0" fillId="0" borderId="3" xfId="1" applyNumberFormat="1" applyFont="1" applyBorder="1"/>
    <xf numFmtId="166" fontId="1" fillId="4" borderId="2" xfId="4" applyNumberFormat="1" applyBorder="1"/>
    <xf numFmtId="166" fontId="1" fillId="4" borderId="3" xfId="4" applyNumberFormat="1" applyBorder="1"/>
    <xf numFmtId="165" fontId="1" fillId="4" borderId="3" xfId="4" applyNumberFormat="1" applyBorder="1"/>
    <xf numFmtId="1" fontId="0" fillId="0" borderId="0" xfId="0" applyNumberFormat="1"/>
  </cellXfs>
  <cellStyles count="5">
    <cellStyle name="40% — акцент4" xfId="4" builtinId="43"/>
    <cellStyle name="Вывод" xfId="3" builtinId="21"/>
    <cellStyle name="Нейтральный" xfId="2" builtinId="28"/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87233296296207"/>
          <c:y val="4.802132078868649E-2"/>
          <c:w val="0.79321527378316958"/>
          <c:h val="0.88082925324431049"/>
        </c:manualLayout>
      </c:layout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[1]Неявная!$F$12:$AJ$12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[1]Неявная!$F$13:$AJ$13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280.72433416029071</c:v>
                </c:pt>
                <c:pt idx="2">
                  <c:v>261.61015334541958</c:v>
                </c:pt>
                <c:pt idx="3">
                  <c:v>242.81596624310268</c:v>
                </c:pt>
                <c:pt idx="4">
                  <c:v>224.49443302625639</c:v>
                </c:pt>
                <c:pt idx="5">
                  <c:v>206.7896952978609</c:v>
                </c:pt>
                <c:pt idx="6">
                  <c:v>189.83499422291521</c:v>
                </c:pt>
                <c:pt idx="7">
                  <c:v>173.75064625220924</c:v>
                </c:pt>
                <c:pt idx="8">
                  <c:v>158.64242571977661</c:v>
                </c:pt>
                <c:pt idx="9">
                  <c:v>144.600381543916</c:v>
                </c:pt>
                <c:pt idx="10">
                  <c:v>131.69809290957548</c:v>
                </c:pt>
                <c:pt idx="11">
                  <c:v>119.99234773703029</c:v>
                </c:pt>
                <c:pt idx="12">
                  <c:v>109.52320934368417</c:v>
                </c:pt>
                <c:pt idx="13">
                  <c:v>100.31442208349191</c:v>
                </c:pt>
                <c:pt idx="14">
                  <c:v>92.374096630734215</c:v>
                </c:pt>
                <c:pt idx="15">
                  <c:v>85.695610279332314</c:v>
                </c:pt>
                <c:pt idx="16">
                  <c:v>80.258657063104167</c:v>
                </c:pt>
                <c:pt idx="17">
                  <c:v>76.030386202003541</c:v>
                </c:pt>
                <c:pt idx="18">
                  <c:v>72.966574577440028</c:v>
                </c:pt>
                <c:pt idx="19">
                  <c:v>71.012788658048322</c:v>
                </c:pt>
                <c:pt idx="20">
                  <c:v>70.105502450019529</c:v>
                </c:pt>
                <c:pt idx="21">
                  <c:v>70.173149545525121</c:v>
                </c:pt>
                <c:pt idx="22">
                  <c:v>71.137098196564153</c:v>
                </c:pt>
                <c:pt idx="23">
                  <c:v>72.912547734401159</c:v>
                </c:pt>
                <c:pt idx="24">
                  <c:v>75.409352007262626</c:v>
                </c:pt>
                <c:pt idx="25">
                  <c:v>78.53278051050259</c:v>
                </c:pt>
                <c:pt idx="26">
                  <c:v>82.184230497265617</c:v>
                </c:pt>
                <c:pt idx="27">
                  <c:v>86.261903799380406</c:v>
                </c:pt>
                <c:pt idx="28">
                  <c:v>90.661460781048689</c:v>
                </c:pt>
                <c:pt idx="29">
                  <c:v>95.276661359913561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8B-463C-B00B-6E0608829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[1]Явная!$F$12:$AJ$12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[1]Явная!$F$13:$AJ$13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A-4C2C-B391-520499049B02}"/>
            </c:ext>
          </c:extLst>
        </c:ser>
        <c:ser>
          <c:idx val="1"/>
          <c:order val="1"/>
          <c:tx>
            <c:v>222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[1]Неявная!$F$12:$AJ$12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[1]Неявная!$F$13:$AJ$13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280.72433416029071</c:v>
                </c:pt>
                <c:pt idx="2">
                  <c:v>261.61015334541958</c:v>
                </c:pt>
                <c:pt idx="3">
                  <c:v>242.81596624310268</c:v>
                </c:pt>
                <c:pt idx="4">
                  <c:v>224.49443302625639</c:v>
                </c:pt>
                <c:pt idx="5">
                  <c:v>206.7896952978609</c:v>
                </c:pt>
                <c:pt idx="6">
                  <c:v>189.83499422291521</c:v>
                </c:pt>
                <c:pt idx="7">
                  <c:v>173.75064625220924</c:v>
                </c:pt>
                <c:pt idx="8">
                  <c:v>158.64242571977661</c:v>
                </c:pt>
                <c:pt idx="9">
                  <c:v>144.600381543916</c:v>
                </c:pt>
                <c:pt idx="10">
                  <c:v>131.69809290957548</c:v>
                </c:pt>
                <c:pt idx="11">
                  <c:v>119.99234773703029</c:v>
                </c:pt>
                <c:pt idx="12">
                  <c:v>109.52320934368417</c:v>
                </c:pt>
                <c:pt idx="13">
                  <c:v>100.31442208349191</c:v>
                </c:pt>
                <c:pt idx="14">
                  <c:v>92.374096630734215</c:v>
                </c:pt>
                <c:pt idx="15">
                  <c:v>85.695610279332314</c:v>
                </c:pt>
                <c:pt idx="16">
                  <c:v>80.258657063104167</c:v>
                </c:pt>
                <c:pt idx="17">
                  <c:v>76.030386202003541</c:v>
                </c:pt>
                <c:pt idx="18">
                  <c:v>72.966574577440028</c:v>
                </c:pt>
                <c:pt idx="19">
                  <c:v>71.012788658048322</c:v>
                </c:pt>
                <c:pt idx="20">
                  <c:v>70.105502450019529</c:v>
                </c:pt>
                <c:pt idx="21">
                  <c:v>70.173149545525121</c:v>
                </c:pt>
                <c:pt idx="22">
                  <c:v>71.137098196564153</c:v>
                </c:pt>
                <c:pt idx="23">
                  <c:v>72.912547734401159</c:v>
                </c:pt>
                <c:pt idx="24">
                  <c:v>75.409352007262626</c:v>
                </c:pt>
                <c:pt idx="25">
                  <c:v>78.53278051050259</c:v>
                </c:pt>
                <c:pt idx="26">
                  <c:v>82.184230497265617</c:v>
                </c:pt>
                <c:pt idx="27">
                  <c:v>86.261903799380406</c:v>
                </c:pt>
                <c:pt idx="28">
                  <c:v>90.661460781048689</c:v>
                </c:pt>
                <c:pt idx="29">
                  <c:v>95.276661359913561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6A-4C2C-B391-52049904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214832"/>
        <c:axId val="1211211920"/>
      </c:scatterChart>
      <c:valAx>
        <c:axId val="121121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1211920"/>
        <c:crosses val="autoZero"/>
        <c:crossBetween val="midCat"/>
      </c:valAx>
      <c:valAx>
        <c:axId val="12112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121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25</xdr:row>
      <xdr:rowOff>0</xdr:rowOff>
    </xdr:from>
    <xdr:to>
      <xdr:col>15</xdr:col>
      <xdr:colOff>315439</xdr:colOff>
      <xdr:row>50</xdr:row>
      <xdr:rowOff>142009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E992BC7-28DD-41A3-A9AE-AC2DFC1E3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517072</xdr:colOff>
      <xdr:row>23</xdr:row>
      <xdr:rowOff>16329</xdr:rowOff>
    </xdr:from>
    <xdr:to>
      <xdr:col>29</xdr:col>
      <xdr:colOff>81642</xdr:colOff>
      <xdr:row>51</xdr:row>
      <xdr:rowOff>108857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72;&#1079;&#1072;&#1088;&#1077;&#1094;%20&#1040;.&#1057;._2310_&#1055;&#1088;&#1072;&#1082;&#1090;&#1080;&#1082;&#1072;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ая"/>
      <sheetName val="Явная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280.72433416029071</v>
          </cell>
          <cell r="H13">
            <v>261.61015334541958</v>
          </cell>
          <cell r="I13">
            <v>242.81596624310268</v>
          </cell>
          <cell r="J13">
            <v>224.49443302625639</v>
          </cell>
          <cell r="K13">
            <v>206.7896952978609</v>
          </cell>
          <cell r="L13">
            <v>189.83499422291521</v>
          </cell>
          <cell r="M13">
            <v>173.75064625220924</v>
          </cell>
          <cell r="N13">
            <v>158.64242571977661</v>
          </cell>
          <cell r="O13">
            <v>144.600381543916</v>
          </cell>
          <cell r="P13">
            <v>131.69809290957548</v>
          </cell>
          <cell r="Q13">
            <v>119.99234773703029</v>
          </cell>
          <cell r="R13">
            <v>109.52320934368417</v>
          </cell>
          <cell r="S13">
            <v>100.31442208349191</v>
          </cell>
          <cell r="T13">
            <v>92.374096630734215</v>
          </cell>
          <cell r="U13">
            <v>85.695610279332314</v>
          </cell>
          <cell r="V13">
            <v>80.258657063104167</v>
          </cell>
          <cell r="W13">
            <v>76.030386202003541</v>
          </cell>
          <cell r="X13">
            <v>72.966574577440028</v>
          </cell>
          <cell r="Y13">
            <v>71.012788658048322</v>
          </cell>
          <cell r="Z13">
            <v>70.105502450019529</v>
          </cell>
          <cell r="AA13">
            <v>70.173149545525121</v>
          </cell>
          <cell r="AB13">
            <v>71.137098196564153</v>
          </cell>
          <cell r="AC13">
            <v>72.912547734401159</v>
          </cell>
          <cell r="AD13">
            <v>75.409352007262626</v>
          </cell>
          <cell r="AE13">
            <v>78.53278051050259</v>
          </cell>
          <cell r="AF13">
            <v>82.184230497265617</v>
          </cell>
          <cell r="AG13">
            <v>86.261903799380406</v>
          </cell>
          <cell r="AH13">
            <v>90.661460781048689</v>
          </cell>
          <cell r="AI13">
            <v>95.276661359913561</v>
          </cell>
          <cell r="AJ13">
            <v>100</v>
          </cell>
        </row>
      </sheetData>
      <sheetData sheetId="1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A93"/>
  <sheetViews>
    <sheetView tabSelected="1" zoomScale="70" zoomScaleNormal="70" workbookViewId="0">
      <selection activeCell="H14" sqref="H14"/>
    </sheetView>
  </sheetViews>
  <sheetFormatPr defaultRowHeight="15" x14ac:dyDescent="0.25"/>
  <cols>
    <col min="1" max="1" width="18.140625" customWidth="1"/>
    <col min="38" max="38" width="9.42578125" customWidth="1"/>
    <col min="102" max="102" width="11.42578125" customWidth="1"/>
  </cols>
  <sheetData>
    <row r="1" spans="1:36" x14ac:dyDescent="0.25">
      <c r="E1" s="11"/>
      <c r="F1" s="11">
        <v>1</v>
      </c>
      <c r="G1" s="11">
        <v>2</v>
      </c>
      <c r="H1" s="11">
        <v>3</v>
      </c>
      <c r="I1" s="11">
        <v>4</v>
      </c>
      <c r="J1" s="11">
        <v>5</v>
      </c>
      <c r="K1" s="11">
        <v>6</v>
      </c>
      <c r="L1" s="11">
        <v>7</v>
      </c>
      <c r="M1" s="11">
        <v>8</v>
      </c>
      <c r="N1" s="11">
        <v>9</v>
      </c>
      <c r="O1" s="11">
        <v>10</v>
      </c>
      <c r="P1" s="11">
        <v>11</v>
      </c>
      <c r="Q1" s="11">
        <v>12</v>
      </c>
      <c r="R1" s="11">
        <v>13</v>
      </c>
      <c r="S1" s="11">
        <v>14</v>
      </c>
      <c r="T1" s="11">
        <v>15</v>
      </c>
      <c r="U1" s="11">
        <v>16</v>
      </c>
      <c r="V1" s="11">
        <v>17</v>
      </c>
      <c r="W1" s="11">
        <v>18</v>
      </c>
      <c r="X1" s="11">
        <v>19</v>
      </c>
      <c r="Y1" s="11">
        <v>20</v>
      </c>
      <c r="Z1" s="11">
        <v>21</v>
      </c>
      <c r="AA1" s="11">
        <v>22</v>
      </c>
      <c r="AB1" s="11">
        <v>23</v>
      </c>
      <c r="AC1" s="11">
        <v>24</v>
      </c>
      <c r="AD1" s="11">
        <v>25</v>
      </c>
      <c r="AE1" s="11">
        <v>26</v>
      </c>
      <c r="AF1" s="11">
        <v>27</v>
      </c>
      <c r="AG1" s="11">
        <v>28</v>
      </c>
      <c r="AH1" s="11">
        <v>29</v>
      </c>
      <c r="AI1" s="11">
        <v>30</v>
      </c>
      <c r="AJ1" s="11"/>
    </row>
    <row r="2" spans="1:36" x14ac:dyDescent="0.25">
      <c r="A2" s="2"/>
      <c r="B2" s="1" t="s">
        <v>0</v>
      </c>
      <c r="C2" s="1">
        <v>0.1</v>
      </c>
      <c r="E2" s="12">
        <f>E3+$C$5</f>
        <v>0.10000000000000007</v>
      </c>
      <c r="F2" s="11">
        <f>$C$13</f>
        <v>300</v>
      </c>
      <c r="G2" s="11">
        <v>279.79855028196312</v>
      </c>
      <c r="H2" s="11">
        <v>259.77904032510156</v>
      </c>
      <c r="I2" s="11">
        <v>240.11986839117529</v>
      </c>
      <c r="J2" s="11">
        <v>220.99247786831182</v>
      </c>
      <c r="K2" s="11">
        <v>202.55819235875273</v>
      </c>
      <c r="L2" s="11">
        <v>184.9654046203444</v>
      </c>
      <c r="M2" s="11">
        <v>168.34720385479721</v>
      </c>
      <c r="N2" s="11">
        <v>152.81950064171949</v>
      </c>
      <c r="O2" s="11">
        <v>138.47968128530923</v>
      </c>
      <c r="P2" s="11">
        <v>125.40579554436152</v>
      </c>
      <c r="Q2" s="11">
        <v>113.65625565903058</v>
      </c>
      <c r="R2" s="11">
        <v>103.27000202761347</v>
      </c>
      <c r="S2" s="11">
        <v>94.267073192753742</v>
      </c>
      <c r="T2" s="11">
        <v>86.6495058494002</v>
      </c>
      <c r="U2" s="11">
        <v>80.402484730030807</v>
      </c>
      <c r="V2" s="11">
        <v>75.495662267999208</v>
      </c>
      <c r="W2" s="11">
        <v>71.884573223700016</v>
      </c>
      <c r="X2" s="11">
        <v>69.512078939057162</v>
      </c>
      <c r="Y2" s="11">
        <v>68.309788271571023</v>
      </c>
      <c r="Z2" s="11">
        <v>68.199416149670185</v>
      </c>
      <c r="AA2" s="11">
        <v>69.094054720487435</v>
      </c>
      <c r="AB2" s="11">
        <v>70.899345025828126</v>
      </c>
      <c r="AC2" s="11">
        <v>73.514548102708744</v>
      </c>
      <c r="AD2" s="11">
        <v>76.833522753588937</v>
      </c>
      <c r="AE2" s="11">
        <v>80.745622719866631</v>
      </c>
      <c r="AF2" s="11">
        <v>85.136528719347268</v>
      </c>
      <c r="AG2" s="11">
        <v>89.889031172461927</v>
      </c>
      <c r="AH2" s="11">
        <v>94.883778062866838</v>
      </c>
      <c r="AI2" s="11">
        <f>$C$14</f>
        <v>100</v>
      </c>
      <c r="AJ2" s="11">
        <v>30</v>
      </c>
    </row>
    <row r="3" spans="1:36" x14ac:dyDescent="0.25">
      <c r="A3" s="2" t="s">
        <v>19</v>
      </c>
      <c r="B3" s="1" t="s">
        <v>1</v>
      </c>
      <c r="C3" s="1">
        <v>0.1</v>
      </c>
      <c r="E3" s="12">
        <f t="shared" ref="E3:E30" si="0">E4+$C$5</f>
        <v>9.6551724137931103E-2</v>
      </c>
      <c r="F3" s="11">
        <f t="shared" ref="F3:F31" si="1">$C$13</f>
        <v>300</v>
      </c>
      <c r="G3" s="11">
        <v>279.79855028196312</v>
      </c>
      <c r="H3" s="11">
        <v>259.77904032510151</v>
      </c>
      <c r="I3" s="11">
        <v>240.11986839117526</v>
      </c>
      <c r="J3" s="11">
        <v>220.99247786831182</v>
      </c>
      <c r="K3" s="11">
        <v>202.55819235875271</v>
      </c>
      <c r="L3" s="11">
        <v>184.9654046203444</v>
      </c>
      <c r="M3" s="11">
        <v>168.34720385479721</v>
      </c>
      <c r="N3" s="11">
        <v>152.81950064171946</v>
      </c>
      <c r="O3" s="11">
        <v>138.47968128530923</v>
      </c>
      <c r="P3" s="11">
        <v>125.40579554436152</v>
      </c>
      <c r="Q3" s="11">
        <v>113.65625565903058</v>
      </c>
      <c r="R3" s="11">
        <v>103.27000202761346</v>
      </c>
      <c r="S3" s="11">
        <v>94.267073192753742</v>
      </c>
      <c r="T3" s="11">
        <v>86.649505849400185</v>
      </c>
      <c r="U3" s="11">
        <v>80.402484730030807</v>
      </c>
      <c r="V3" s="11">
        <v>75.495662267999208</v>
      </c>
      <c r="W3" s="11">
        <v>71.884573223700016</v>
      </c>
      <c r="X3" s="11">
        <v>69.512078939057162</v>
      </c>
      <c r="Y3" s="11">
        <v>68.309788271571023</v>
      </c>
      <c r="Z3" s="11">
        <v>68.199416149670185</v>
      </c>
      <c r="AA3" s="11">
        <v>69.094054720487435</v>
      </c>
      <c r="AB3" s="11">
        <v>70.899345025828126</v>
      </c>
      <c r="AC3" s="11">
        <v>73.514548102708744</v>
      </c>
      <c r="AD3" s="11">
        <v>76.833522753588937</v>
      </c>
      <c r="AE3" s="11">
        <v>80.745622719866617</v>
      </c>
      <c r="AF3" s="11">
        <v>85.136528719347268</v>
      </c>
      <c r="AG3" s="11">
        <v>89.889031172461927</v>
      </c>
      <c r="AH3" s="11">
        <v>94.883778062866838</v>
      </c>
      <c r="AI3" s="11">
        <f t="shared" ref="AI3:AI31" si="2">$C$14</f>
        <v>100</v>
      </c>
      <c r="AJ3" s="11">
        <v>29</v>
      </c>
    </row>
    <row r="4" spans="1:36" x14ac:dyDescent="0.25">
      <c r="A4" s="3" t="s">
        <v>16</v>
      </c>
      <c r="B4" s="1" t="s">
        <v>2</v>
      </c>
      <c r="C4" s="10">
        <f>C3/29</f>
        <v>3.4482758620689659E-3</v>
      </c>
      <c r="E4" s="12">
        <f t="shared" si="0"/>
        <v>9.310344827586213E-2</v>
      </c>
      <c r="F4" s="11">
        <f t="shared" si="1"/>
        <v>300</v>
      </c>
      <c r="G4" s="11">
        <v>279.79855028196312</v>
      </c>
      <c r="H4" s="11">
        <v>259.77904032510151</v>
      </c>
      <c r="I4" s="11">
        <v>240.11986839117526</v>
      </c>
      <c r="J4" s="11">
        <v>220.99247786831182</v>
      </c>
      <c r="K4" s="11">
        <v>202.55819235875271</v>
      </c>
      <c r="L4" s="11">
        <v>184.9654046203444</v>
      </c>
      <c r="M4" s="11">
        <v>168.34720385479719</v>
      </c>
      <c r="N4" s="11">
        <v>152.81950064171946</v>
      </c>
      <c r="O4" s="11">
        <v>138.4796812853092</v>
      </c>
      <c r="P4" s="11">
        <v>125.40579554436152</v>
      </c>
      <c r="Q4" s="11">
        <v>113.65625565903056</v>
      </c>
      <c r="R4" s="11">
        <v>103.27000202761346</v>
      </c>
      <c r="S4" s="11">
        <v>94.267073192753742</v>
      </c>
      <c r="T4" s="11">
        <v>86.649505849400185</v>
      </c>
      <c r="U4" s="11">
        <v>80.402484730030793</v>
      </c>
      <c r="V4" s="11">
        <v>75.495662267999194</v>
      </c>
      <c r="W4" s="11">
        <v>71.884573223700016</v>
      </c>
      <c r="X4" s="11">
        <v>69.512078939057162</v>
      </c>
      <c r="Y4" s="11">
        <v>68.309788271570994</v>
      </c>
      <c r="Z4" s="11">
        <v>68.199416149670171</v>
      </c>
      <c r="AA4" s="11">
        <v>69.094054720487421</v>
      </c>
      <c r="AB4" s="11">
        <v>70.899345025828126</v>
      </c>
      <c r="AC4" s="11">
        <v>73.514548102708744</v>
      </c>
      <c r="AD4" s="11">
        <v>76.833522753588937</v>
      </c>
      <c r="AE4" s="11">
        <v>80.745622719866617</v>
      </c>
      <c r="AF4" s="11">
        <v>85.136528719347268</v>
      </c>
      <c r="AG4" s="11">
        <v>89.889031172461927</v>
      </c>
      <c r="AH4" s="11">
        <v>94.883778062866838</v>
      </c>
      <c r="AI4" s="11">
        <f t="shared" si="2"/>
        <v>100</v>
      </c>
      <c r="AJ4" s="11">
        <v>28</v>
      </c>
    </row>
    <row r="5" spans="1:36" x14ac:dyDescent="0.25">
      <c r="A5" s="3" t="s">
        <v>17</v>
      </c>
      <c r="B5" s="1" t="s">
        <v>3</v>
      </c>
      <c r="C5" s="10">
        <f>C3/29</f>
        <v>3.4482758620689659E-3</v>
      </c>
      <c r="E5" s="12">
        <f t="shared" si="0"/>
        <v>8.9655172413793158E-2</v>
      </c>
      <c r="F5" s="11">
        <f t="shared" si="1"/>
        <v>300</v>
      </c>
      <c r="G5" s="11">
        <v>279.79855028196312</v>
      </c>
      <c r="H5" s="11">
        <v>259.77904032510151</v>
      </c>
      <c r="I5" s="11">
        <v>240.11986839117526</v>
      </c>
      <c r="J5" s="11">
        <v>220.99247786831182</v>
      </c>
      <c r="K5" s="11">
        <v>202.55819235875271</v>
      </c>
      <c r="L5" s="11">
        <v>184.96540462034437</v>
      </c>
      <c r="M5" s="11">
        <v>168.34720385479716</v>
      </c>
      <c r="N5" s="11">
        <v>152.81950064171943</v>
      </c>
      <c r="O5" s="11">
        <v>138.47968128530917</v>
      </c>
      <c r="P5" s="11">
        <v>125.4057955443615</v>
      </c>
      <c r="Q5" s="11">
        <v>113.65625565903053</v>
      </c>
      <c r="R5" s="11">
        <v>103.27000202761346</v>
      </c>
      <c r="S5" s="11">
        <v>94.267073192753742</v>
      </c>
      <c r="T5" s="11">
        <v>86.649505849400185</v>
      </c>
      <c r="U5" s="11">
        <v>80.402484730030778</v>
      </c>
      <c r="V5" s="11">
        <v>75.495662267999194</v>
      </c>
      <c r="W5" s="11">
        <v>71.884573223700002</v>
      </c>
      <c r="X5" s="11">
        <v>69.512078939057147</v>
      </c>
      <c r="Y5" s="11">
        <v>68.30978827157098</v>
      </c>
      <c r="Z5" s="11">
        <v>68.199416149670171</v>
      </c>
      <c r="AA5" s="11">
        <v>69.094054720487406</v>
      </c>
      <c r="AB5" s="11">
        <v>70.899345025828126</v>
      </c>
      <c r="AC5" s="11">
        <v>73.51454810270873</v>
      </c>
      <c r="AD5" s="11">
        <v>76.833522753588937</v>
      </c>
      <c r="AE5" s="11">
        <v>80.745622719866617</v>
      </c>
      <c r="AF5" s="11">
        <v>85.136528719347268</v>
      </c>
      <c r="AG5" s="11">
        <v>89.889031172461927</v>
      </c>
      <c r="AH5" s="11">
        <v>94.883778062866838</v>
      </c>
      <c r="AI5" s="11">
        <f t="shared" si="2"/>
        <v>100</v>
      </c>
      <c r="AJ5" s="11">
        <v>27</v>
      </c>
    </row>
    <row r="6" spans="1:36" x14ac:dyDescent="0.25">
      <c r="A6" s="3" t="s">
        <v>18</v>
      </c>
      <c r="B6" s="1" t="s">
        <v>4</v>
      </c>
      <c r="C6" s="1">
        <v>60</v>
      </c>
      <c r="D6">
        <v>61</v>
      </c>
      <c r="E6" s="12">
        <f t="shared" si="0"/>
        <v>8.6206896551724185E-2</v>
      </c>
      <c r="F6" s="11">
        <f t="shared" si="1"/>
        <v>300</v>
      </c>
      <c r="G6" s="11">
        <v>279.79855028196312</v>
      </c>
      <c r="H6" s="11">
        <v>259.77904032510151</v>
      </c>
      <c r="I6" s="11">
        <v>240.11986839117526</v>
      </c>
      <c r="J6" s="11">
        <v>220.99247786831177</v>
      </c>
      <c r="K6" s="11">
        <v>202.55819235875268</v>
      </c>
      <c r="L6" s="11">
        <v>184.96540462034434</v>
      </c>
      <c r="M6" s="11">
        <v>168.34720385479716</v>
      </c>
      <c r="N6" s="11">
        <v>152.8195006417194</v>
      </c>
      <c r="O6" s="11">
        <v>138.47968128530914</v>
      </c>
      <c r="P6" s="11">
        <v>125.40579554436144</v>
      </c>
      <c r="Q6" s="11">
        <v>113.65625565903053</v>
      </c>
      <c r="R6" s="11">
        <v>103.27000202761344</v>
      </c>
      <c r="S6" s="11">
        <v>94.267073192753742</v>
      </c>
      <c r="T6" s="11">
        <v>86.649505849400171</v>
      </c>
      <c r="U6" s="11">
        <v>80.402484730030764</v>
      </c>
      <c r="V6" s="11">
        <v>75.49566226799918</v>
      </c>
      <c r="W6" s="11">
        <v>71.884573223699988</v>
      </c>
      <c r="X6" s="11">
        <v>69.512078939057133</v>
      </c>
      <c r="Y6" s="11">
        <v>68.309788271570966</v>
      </c>
      <c r="Z6" s="11">
        <v>68.199416149670157</v>
      </c>
      <c r="AA6" s="11">
        <v>69.094054720487406</v>
      </c>
      <c r="AB6" s="11">
        <v>70.899345025828126</v>
      </c>
      <c r="AC6" s="11">
        <v>73.514548102708716</v>
      </c>
      <c r="AD6" s="11">
        <v>76.833522753588923</v>
      </c>
      <c r="AE6" s="11">
        <v>80.745622719866603</v>
      </c>
      <c r="AF6" s="11">
        <v>85.136528719347268</v>
      </c>
      <c r="AG6" s="11">
        <v>89.889031172461927</v>
      </c>
      <c r="AH6" s="11">
        <v>94.883778062866838</v>
      </c>
      <c r="AI6" s="11">
        <f t="shared" si="2"/>
        <v>100</v>
      </c>
      <c r="AJ6" s="11">
        <v>26</v>
      </c>
    </row>
    <row r="7" spans="1:36" x14ac:dyDescent="0.25">
      <c r="A7" s="4"/>
      <c r="B7" s="1" t="s">
        <v>5</v>
      </c>
      <c r="C7" s="1">
        <v>1</v>
      </c>
      <c r="E7" s="12">
        <f t="shared" si="0"/>
        <v>8.2758620689655213E-2</v>
      </c>
      <c r="F7" s="11">
        <f t="shared" si="1"/>
        <v>300</v>
      </c>
      <c r="G7" s="11">
        <v>279.79855028196312</v>
      </c>
      <c r="H7" s="11">
        <v>259.77904032510151</v>
      </c>
      <c r="I7" s="11">
        <v>240.11986839117526</v>
      </c>
      <c r="J7" s="11">
        <v>220.99247786831171</v>
      </c>
      <c r="K7" s="11">
        <v>202.55819235875265</v>
      </c>
      <c r="L7" s="11">
        <v>184.96540462034432</v>
      </c>
      <c r="M7" s="11">
        <v>168.34720385479713</v>
      </c>
      <c r="N7" s="11">
        <v>152.8195006417194</v>
      </c>
      <c r="O7" s="11">
        <v>138.47968128530914</v>
      </c>
      <c r="P7" s="11">
        <v>125.4057955443614</v>
      </c>
      <c r="Q7" s="11">
        <v>113.65625565903051</v>
      </c>
      <c r="R7" s="11">
        <v>103.2700020276134</v>
      </c>
      <c r="S7" s="11">
        <v>94.267073192753713</v>
      </c>
      <c r="T7" s="11">
        <v>86.649505849400143</v>
      </c>
      <c r="U7" s="11">
        <v>80.40248473003075</v>
      </c>
      <c r="V7" s="11">
        <v>75.495662267999151</v>
      </c>
      <c r="W7" s="11">
        <v>71.884573223699959</v>
      </c>
      <c r="X7" s="11">
        <v>69.512078939057119</v>
      </c>
      <c r="Y7" s="11">
        <v>68.309788271570937</v>
      </c>
      <c r="Z7" s="11">
        <v>68.199416149670128</v>
      </c>
      <c r="AA7" s="11">
        <v>69.094054720487392</v>
      </c>
      <c r="AB7" s="11">
        <v>70.899345025828097</v>
      </c>
      <c r="AC7" s="11">
        <v>73.514548102708687</v>
      </c>
      <c r="AD7" s="11">
        <v>76.833522753588909</v>
      </c>
      <c r="AE7" s="11">
        <v>80.745622719866589</v>
      </c>
      <c r="AF7" s="11">
        <v>85.13652871934724</v>
      </c>
      <c r="AG7" s="11">
        <v>89.889031172461912</v>
      </c>
      <c r="AH7" s="11">
        <v>94.883778062866838</v>
      </c>
      <c r="AI7" s="11">
        <f t="shared" si="2"/>
        <v>100</v>
      </c>
      <c r="AJ7" s="11">
        <v>25</v>
      </c>
    </row>
    <row r="8" spans="1:36" x14ac:dyDescent="0.25">
      <c r="E8" s="12">
        <f t="shared" si="0"/>
        <v>7.931034482758624E-2</v>
      </c>
      <c r="F8" s="11">
        <f t="shared" si="1"/>
        <v>300</v>
      </c>
      <c r="G8" s="11">
        <v>279.79855028196312</v>
      </c>
      <c r="H8" s="11">
        <v>259.77904032510151</v>
      </c>
      <c r="I8" s="11">
        <v>240.11986839117526</v>
      </c>
      <c r="J8" s="11">
        <v>220.99247786831165</v>
      </c>
      <c r="K8" s="11">
        <v>202.55819235875262</v>
      </c>
      <c r="L8" s="11">
        <v>184.96540462034426</v>
      </c>
      <c r="M8" s="11">
        <v>168.3472038547971</v>
      </c>
      <c r="N8" s="11">
        <v>152.81950064171937</v>
      </c>
      <c r="O8" s="11">
        <v>138.47968128530911</v>
      </c>
      <c r="P8" s="11">
        <v>125.40579554436137</v>
      </c>
      <c r="Q8" s="11">
        <v>113.65625565903046</v>
      </c>
      <c r="R8" s="11">
        <v>103.27000202761337</v>
      </c>
      <c r="S8" s="11">
        <v>94.267073192753671</v>
      </c>
      <c r="T8" s="11">
        <v>86.6495058494001</v>
      </c>
      <c r="U8" s="11">
        <v>80.402484730030721</v>
      </c>
      <c r="V8" s="11">
        <v>75.495662267999109</v>
      </c>
      <c r="W8" s="11">
        <v>71.884573223699931</v>
      </c>
      <c r="X8" s="11">
        <v>69.512078939057091</v>
      </c>
      <c r="Y8" s="11">
        <v>68.309788271570923</v>
      </c>
      <c r="Z8" s="11">
        <v>68.199416149670114</v>
      </c>
      <c r="AA8" s="11">
        <v>69.094054720487364</v>
      </c>
      <c r="AB8" s="11">
        <v>70.899345025828069</v>
      </c>
      <c r="AC8" s="11">
        <v>73.514548102708673</v>
      </c>
      <c r="AD8" s="11">
        <v>76.833522753588895</v>
      </c>
      <c r="AE8" s="11">
        <v>80.745622719866574</v>
      </c>
      <c r="AF8" s="11">
        <v>85.136528719347211</v>
      </c>
      <c r="AG8" s="11">
        <v>89.889031172461898</v>
      </c>
      <c r="AH8" s="11">
        <v>94.883778062866824</v>
      </c>
      <c r="AI8" s="11">
        <f t="shared" si="2"/>
        <v>100</v>
      </c>
      <c r="AJ8" s="11">
        <v>24</v>
      </c>
    </row>
    <row r="9" spans="1:36" x14ac:dyDescent="0.25">
      <c r="A9" s="5"/>
      <c r="B9" s="1" t="s">
        <v>6</v>
      </c>
      <c r="C9" s="1">
        <v>460</v>
      </c>
      <c r="E9" s="12">
        <f t="shared" si="0"/>
        <v>7.5862068965517268E-2</v>
      </c>
      <c r="F9" s="11">
        <f t="shared" si="1"/>
        <v>300</v>
      </c>
      <c r="G9" s="11">
        <v>279.79855028196306</v>
      </c>
      <c r="H9" s="11">
        <v>259.77904032510145</v>
      </c>
      <c r="I9" s="11">
        <v>240.1198683911752</v>
      </c>
      <c r="J9" s="11">
        <v>220.9924778683116</v>
      </c>
      <c r="K9" s="11">
        <v>202.55819235875254</v>
      </c>
      <c r="L9" s="11">
        <v>184.9654046203442</v>
      </c>
      <c r="M9" s="11">
        <v>168.34720385479704</v>
      </c>
      <c r="N9" s="11">
        <v>152.81950064171932</v>
      </c>
      <c r="O9" s="11">
        <v>138.47968128530906</v>
      </c>
      <c r="P9" s="11">
        <v>125.40579554436133</v>
      </c>
      <c r="Q9" s="11">
        <v>113.65625565903042</v>
      </c>
      <c r="R9" s="11">
        <v>103.27000202761334</v>
      </c>
      <c r="S9" s="11">
        <v>94.267073192753628</v>
      </c>
      <c r="T9" s="11">
        <v>86.649505849400072</v>
      </c>
      <c r="U9" s="11">
        <v>80.402484730030693</v>
      </c>
      <c r="V9" s="11">
        <v>75.495662267999094</v>
      </c>
      <c r="W9" s="11">
        <v>71.884573223699917</v>
      </c>
      <c r="X9" s="11">
        <v>69.512078939057062</v>
      </c>
      <c r="Y9" s="11">
        <v>68.309788271570895</v>
      </c>
      <c r="Z9" s="11">
        <v>68.199416149670085</v>
      </c>
      <c r="AA9" s="11">
        <v>69.09405472048735</v>
      </c>
      <c r="AB9" s="11">
        <v>70.899345025828055</v>
      </c>
      <c r="AC9" s="11">
        <v>73.514548102708645</v>
      </c>
      <c r="AD9" s="11">
        <v>76.833522753588866</v>
      </c>
      <c r="AE9" s="11">
        <v>80.74562271986656</v>
      </c>
      <c r="AF9" s="11">
        <v>85.136528719347211</v>
      </c>
      <c r="AG9" s="11">
        <v>89.88903117246187</v>
      </c>
      <c r="AH9" s="11">
        <v>94.88377806286681</v>
      </c>
      <c r="AI9" s="11">
        <f t="shared" si="2"/>
        <v>100</v>
      </c>
      <c r="AJ9" s="11">
        <v>23</v>
      </c>
    </row>
    <row r="10" spans="1:36" x14ac:dyDescent="0.25">
      <c r="A10" s="6" t="s">
        <v>20</v>
      </c>
      <c r="B10" s="1" t="s">
        <v>7</v>
      </c>
      <c r="C10" s="1">
        <v>7800</v>
      </c>
      <c r="E10" s="12">
        <f t="shared" si="0"/>
        <v>7.2413793103448296E-2</v>
      </c>
      <c r="F10" s="11">
        <f t="shared" si="1"/>
        <v>300</v>
      </c>
      <c r="G10" s="11">
        <v>279.798550281963</v>
      </c>
      <c r="H10" s="11">
        <v>259.77904032510139</v>
      </c>
      <c r="I10" s="11">
        <v>240.11986839117515</v>
      </c>
      <c r="J10" s="11">
        <v>220.99247786831157</v>
      </c>
      <c r="K10" s="11">
        <v>202.55819235875248</v>
      </c>
      <c r="L10" s="11">
        <v>184.96540462034412</v>
      </c>
      <c r="M10" s="11">
        <v>168.34720385479699</v>
      </c>
      <c r="N10" s="11">
        <v>152.81950064171923</v>
      </c>
      <c r="O10" s="11">
        <v>138.479681285309</v>
      </c>
      <c r="P10" s="11">
        <v>125.40579554436128</v>
      </c>
      <c r="Q10" s="11">
        <v>113.65625565903039</v>
      </c>
      <c r="R10" s="11">
        <v>103.27000202761329</v>
      </c>
      <c r="S10" s="11">
        <v>94.267073192753585</v>
      </c>
      <c r="T10" s="11">
        <v>86.649505849400029</v>
      </c>
      <c r="U10" s="11">
        <v>80.402484730030665</v>
      </c>
      <c r="V10" s="11">
        <v>75.495662267999066</v>
      </c>
      <c r="W10" s="11">
        <v>71.884573223699888</v>
      </c>
      <c r="X10" s="11">
        <v>69.512078939057034</v>
      </c>
      <c r="Y10" s="11">
        <v>68.309788271570881</v>
      </c>
      <c r="Z10" s="11">
        <v>68.199416149670057</v>
      </c>
      <c r="AA10" s="11">
        <v>69.094054720487321</v>
      </c>
      <c r="AB10" s="11">
        <v>70.899345025828026</v>
      </c>
      <c r="AC10" s="11">
        <v>73.514548102708616</v>
      </c>
      <c r="AD10" s="11">
        <v>76.833522753588838</v>
      </c>
      <c r="AE10" s="11">
        <v>80.745622719866532</v>
      </c>
      <c r="AF10" s="11">
        <v>85.136528719347183</v>
      </c>
      <c r="AG10" s="11">
        <v>89.889031172461856</v>
      </c>
      <c r="AH10" s="11">
        <v>94.883778062866796</v>
      </c>
      <c r="AI10" s="11">
        <f t="shared" si="2"/>
        <v>100</v>
      </c>
      <c r="AJ10" s="11">
        <v>22</v>
      </c>
    </row>
    <row r="11" spans="1:36" x14ac:dyDescent="0.25">
      <c r="A11" s="7"/>
      <c r="B11" s="1" t="s">
        <v>8</v>
      </c>
      <c r="C11" s="1">
        <v>46</v>
      </c>
      <c r="E11" s="12">
        <f t="shared" si="0"/>
        <v>6.8965517241379323E-2</v>
      </c>
      <c r="F11" s="11">
        <f t="shared" si="1"/>
        <v>300</v>
      </c>
      <c r="G11" s="11">
        <v>279.79855028196289</v>
      </c>
      <c r="H11" s="11">
        <v>259.77904032510128</v>
      </c>
      <c r="I11" s="11">
        <v>240.11986839117503</v>
      </c>
      <c r="J11" s="11">
        <v>220.99247786831148</v>
      </c>
      <c r="K11" s="11">
        <v>202.55819235875242</v>
      </c>
      <c r="L11" s="11">
        <v>184.96540462034403</v>
      </c>
      <c r="M11" s="11">
        <v>168.3472038547969</v>
      </c>
      <c r="N11" s="11">
        <v>152.81950064171917</v>
      </c>
      <c r="O11" s="11">
        <v>138.47968128530894</v>
      </c>
      <c r="P11" s="11">
        <v>125.40579554436121</v>
      </c>
      <c r="Q11" s="11">
        <v>113.65625565903031</v>
      </c>
      <c r="R11" s="11">
        <v>103.27000202761323</v>
      </c>
      <c r="S11" s="11">
        <v>94.267073192753529</v>
      </c>
      <c r="T11" s="11">
        <v>86.649505849399986</v>
      </c>
      <c r="U11" s="11">
        <v>80.402484730030622</v>
      </c>
      <c r="V11" s="11">
        <v>75.495662267999023</v>
      </c>
      <c r="W11" s="11">
        <v>71.884573223699846</v>
      </c>
      <c r="X11" s="11">
        <v>69.512078939057005</v>
      </c>
      <c r="Y11" s="11">
        <v>68.309788271570824</v>
      </c>
      <c r="Z11" s="11">
        <v>68.199416149670014</v>
      </c>
      <c r="AA11" s="11">
        <v>69.094054720487279</v>
      </c>
      <c r="AB11" s="11">
        <v>70.899345025827998</v>
      </c>
      <c r="AC11" s="11">
        <v>73.514548102708588</v>
      </c>
      <c r="AD11" s="11">
        <v>76.833522753588809</v>
      </c>
      <c r="AE11" s="11">
        <v>80.745622719866503</v>
      </c>
      <c r="AF11" s="11">
        <v>85.136528719347154</v>
      </c>
      <c r="AG11" s="11">
        <v>89.889031172461813</v>
      </c>
      <c r="AH11" s="11">
        <v>94.883778062866767</v>
      </c>
      <c r="AI11" s="11">
        <f t="shared" si="2"/>
        <v>100</v>
      </c>
      <c r="AJ11" s="11">
        <v>21</v>
      </c>
    </row>
    <row r="12" spans="1:36" x14ac:dyDescent="0.25">
      <c r="E12" s="12">
        <f t="shared" si="0"/>
        <v>6.5517241379310351E-2</v>
      </c>
      <c r="F12" s="11">
        <f t="shared" si="1"/>
        <v>300</v>
      </c>
      <c r="G12" s="11">
        <v>279.79855028196289</v>
      </c>
      <c r="H12" s="11">
        <v>259.77904032510128</v>
      </c>
      <c r="I12" s="11">
        <v>240.11986839117503</v>
      </c>
      <c r="J12" s="11">
        <v>220.99247786831143</v>
      </c>
      <c r="K12" s="11">
        <v>202.55819235875239</v>
      </c>
      <c r="L12" s="11">
        <v>184.965404620344</v>
      </c>
      <c r="M12" s="11">
        <v>168.34720385479687</v>
      </c>
      <c r="N12" s="11">
        <v>152.81950064171915</v>
      </c>
      <c r="O12" s="11">
        <v>138.47968128530891</v>
      </c>
      <c r="P12" s="11">
        <v>125.40579554436118</v>
      </c>
      <c r="Q12" s="11">
        <v>113.65625565903028</v>
      </c>
      <c r="R12" s="11">
        <v>103.2700020276132</v>
      </c>
      <c r="S12" s="11">
        <v>94.267073192753514</v>
      </c>
      <c r="T12" s="11">
        <v>86.649505849399958</v>
      </c>
      <c r="U12" s="11">
        <v>80.402484730030594</v>
      </c>
      <c r="V12" s="11">
        <v>75.495662267998995</v>
      </c>
      <c r="W12" s="11">
        <v>71.884573223699817</v>
      </c>
      <c r="X12" s="11">
        <v>69.512078939056977</v>
      </c>
      <c r="Y12" s="11">
        <v>68.30978827157081</v>
      </c>
      <c r="Z12" s="11">
        <v>68.19941614967</v>
      </c>
      <c r="AA12" s="11">
        <v>69.094054720487264</v>
      </c>
      <c r="AB12" s="11">
        <v>70.899345025827984</v>
      </c>
      <c r="AC12" s="11">
        <v>73.514548102708574</v>
      </c>
      <c r="AD12" s="11">
        <v>76.833522753588795</v>
      </c>
      <c r="AE12" s="11">
        <v>80.745622719866503</v>
      </c>
      <c r="AF12" s="11">
        <v>85.136528719347154</v>
      </c>
      <c r="AG12" s="11">
        <v>89.889031172461813</v>
      </c>
      <c r="AH12" s="11">
        <v>94.883778062866753</v>
      </c>
      <c r="AI12" s="11">
        <f t="shared" si="2"/>
        <v>100</v>
      </c>
      <c r="AJ12" s="11">
        <v>20</v>
      </c>
    </row>
    <row r="13" spans="1:36" x14ac:dyDescent="0.25">
      <c r="A13" s="9" t="s">
        <v>21</v>
      </c>
      <c r="B13" s="1" t="s">
        <v>9</v>
      </c>
      <c r="C13" s="1">
        <v>300</v>
      </c>
      <c r="E13" s="12">
        <f t="shared" si="0"/>
        <v>6.2068965517241385E-2</v>
      </c>
      <c r="F13" s="11">
        <f t="shared" si="1"/>
        <v>300</v>
      </c>
      <c r="G13" s="11">
        <v>279.79855028196295</v>
      </c>
      <c r="H13" s="11">
        <v>259.77904032510128</v>
      </c>
      <c r="I13" s="11">
        <v>240.119868391175</v>
      </c>
      <c r="J13" s="11">
        <v>220.99247786831143</v>
      </c>
      <c r="K13" s="11">
        <v>202.55819235875236</v>
      </c>
      <c r="L13" s="11">
        <v>184.96540462034397</v>
      </c>
      <c r="M13" s="11">
        <v>168.34720385479685</v>
      </c>
      <c r="N13" s="11">
        <v>152.81950064171912</v>
      </c>
      <c r="O13" s="11">
        <v>138.47968128530889</v>
      </c>
      <c r="P13" s="11">
        <v>125.40579554436117</v>
      </c>
      <c r="Q13" s="11">
        <v>113.65625565903025</v>
      </c>
      <c r="R13" s="11">
        <v>103.27000202761319</v>
      </c>
      <c r="S13" s="11">
        <v>94.2670731927535</v>
      </c>
      <c r="T13" s="11">
        <v>86.64950584939993</v>
      </c>
      <c r="U13" s="11">
        <v>80.402484730030565</v>
      </c>
      <c r="V13" s="11">
        <v>75.495662267998981</v>
      </c>
      <c r="W13" s="11">
        <v>71.884573223699803</v>
      </c>
      <c r="X13" s="11">
        <v>69.512078939056948</v>
      </c>
      <c r="Y13" s="11">
        <v>68.309788271570795</v>
      </c>
      <c r="Z13" s="11">
        <v>68.199416149669986</v>
      </c>
      <c r="AA13" s="11">
        <v>69.094054720487236</v>
      </c>
      <c r="AB13" s="11">
        <v>70.899345025827969</v>
      </c>
      <c r="AC13" s="11">
        <v>73.514548102708559</v>
      </c>
      <c r="AD13" s="11">
        <v>76.833522753588795</v>
      </c>
      <c r="AE13" s="11">
        <v>80.745622719866489</v>
      </c>
      <c r="AF13" s="11">
        <v>85.136528719347154</v>
      </c>
      <c r="AG13" s="11">
        <v>89.889031172461813</v>
      </c>
      <c r="AH13" s="11">
        <v>94.883778062866753</v>
      </c>
      <c r="AI13" s="11">
        <v>100</v>
      </c>
      <c r="AJ13" s="11">
        <v>19</v>
      </c>
    </row>
    <row r="14" spans="1:36" x14ac:dyDescent="0.25">
      <c r="A14" s="7"/>
      <c r="B14" s="1" t="s">
        <v>10</v>
      </c>
      <c r="C14" s="1">
        <v>100</v>
      </c>
      <c r="E14" s="12">
        <f t="shared" si="0"/>
        <v>5.862068965517242E-2</v>
      </c>
      <c r="F14" s="11">
        <f t="shared" si="1"/>
        <v>300</v>
      </c>
      <c r="G14" s="11">
        <v>279.79855028196289</v>
      </c>
      <c r="H14" s="11">
        <v>259.77904032510128</v>
      </c>
      <c r="I14" s="11">
        <v>240.11986839117498</v>
      </c>
      <c r="J14" s="11">
        <v>220.9924778683114</v>
      </c>
      <c r="K14" s="11">
        <v>202.55819235875231</v>
      </c>
      <c r="L14" s="11">
        <v>184.96540462034397</v>
      </c>
      <c r="M14" s="11">
        <v>168.34720385479682</v>
      </c>
      <c r="N14" s="11">
        <v>152.81950064171906</v>
      </c>
      <c r="O14" s="11">
        <v>138.47968128530886</v>
      </c>
      <c r="P14" s="11">
        <v>125.40579554436113</v>
      </c>
      <c r="Q14" s="11">
        <v>113.65625565903022</v>
      </c>
      <c r="R14" s="11">
        <v>103.27000202761317</v>
      </c>
      <c r="S14" s="11">
        <v>94.267073192753472</v>
      </c>
      <c r="T14" s="11">
        <v>86.649505849399901</v>
      </c>
      <c r="U14" s="11">
        <v>80.402484730030537</v>
      </c>
      <c r="V14" s="11">
        <v>75.495662267998966</v>
      </c>
      <c r="W14" s="11">
        <v>71.884573223699789</v>
      </c>
      <c r="X14" s="11">
        <v>69.512078939056934</v>
      </c>
      <c r="Y14" s="11">
        <v>68.309788271570781</v>
      </c>
      <c r="Z14" s="11">
        <v>68.199416149669958</v>
      </c>
      <c r="AA14" s="11">
        <v>69.094054720487222</v>
      </c>
      <c r="AB14" s="11">
        <v>70.899345025827955</v>
      </c>
      <c r="AC14" s="11">
        <v>73.514548102708545</v>
      </c>
      <c r="AD14" s="11">
        <v>76.833522753588781</v>
      </c>
      <c r="AE14" s="11">
        <v>80.745622719866475</v>
      </c>
      <c r="AF14" s="11">
        <v>85.136528719347126</v>
      </c>
      <c r="AG14" s="11">
        <v>89.889031172461813</v>
      </c>
      <c r="AH14" s="11">
        <v>94.883778062866753</v>
      </c>
      <c r="AI14" s="11">
        <f t="shared" si="2"/>
        <v>100</v>
      </c>
      <c r="AJ14" s="11">
        <v>18</v>
      </c>
    </row>
    <row r="15" spans="1:36" x14ac:dyDescent="0.25">
      <c r="E15" s="12">
        <f t="shared" si="0"/>
        <v>5.5172413793103454E-2</v>
      </c>
      <c r="F15" s="11">
        <f t="shared" si="1"/>
        <v>300</v>
      </c>
      <c r="G15" s="11">
        <v>279.79855028196295</v>
      </c>
      <c r="H15" s="11">
        <v>259.77904032510128</v>
      </c>
      <c r="I15" s="11">
        <v>240.11986839117498</v>
      </c>
      <c r="J15" s="11">
        <v>220.9924778683114</v>
      </c>
      <c r="K15" s="11">
        <v>202.55819235875231</v>
      </c>
      <c r="L15" s="11">
        <v>184.96540462034397</v>
      </c>
      <c r="M15" s="11">
        <v>168.34720385479682</v>
      </c>
      <c r="N15" s="11">
        <v>152.81950064171906</v>
      </c>
      <c r="O15" s="11">
        <v>138.47968128530883</v>
      </c>
      <c r="P15" s="11">
        <v>125.40579554436111</v>
      </c>
      <c r="Q15" s="11">
        <v>113.65625565903022</v>
      </c>
      <c r="R15" s="11">
        <v>103.27000202761317</v>
      </c>
      <c r="S15" s="11">
        <v>94.267073192753458</v>
      </c>
      <c r="T15" s="11">
        <v>86.649505849399901</v>
      </c>
      <c r="U15" s="11">
        <v>80.402484730030523</v>
      </c>
      <c r="V15" s="11">
        <v>75.495662267998952</v>
      </c>
      <c r="W15" s="11">
        <v>71.884573223699775</v>
      </c>
      <c r="X15" s="11">
        <v>69.51207893905692</v>
      </c>
      <c r="Y15" s="11">
        <v>68.309788271570781</v>
      </c>
      <c r="Z15" s="11">
        <v>68.199416149669958</v>
      </c>
      <c r="AA15" s="11">
        <v>69.094054720487222</v>
      </c>
      <c r="AB15" s="11">
        <v>70.899345025827955</v>
      </c>
      <c r="AC15" s="11">
        <v>73.514548102708545</v>
      </c>
      <c r="AD15" s="11">
        <v>76.833522753588781</v>
      </c>
      <c r="AE15" s="11">
        <v>80.745622719866475</v>
      </c>
      <c r="AF15" s="11">
        <v>85.136528719347126</v>
      </c>
      <c r="AG15" s="11">
        <v>89.889031172461813</v>
      </c>
      <c r="AH15" s="11">
        <v>94.883778062866767</v>
      </c>
      <c r="AI15" s="11">
        <f t="shared" si="2"/>
        <v>100</v>
      </c>
      <c r="AJ15" s="11">
        <v>17</v>
      </c>
    </row>
    <row r="16" spans="1:36" x14ac:dyDescent="0.25">
      <c r="A16" s="5"/>
      <c r="B16" s="1" t="s">
        <v>11</v>
      </c>
      <c r="C16" s="1">
        <v>3868600</v>
      </c>
      <c r="E16" s="12">
        <f t="shared" si="0"/>
        <v>5.1724137931034489E-2</v>
      </c>
      <c r="F16" s="11">
        <f t="shared" si="1"/>
        <v>300</v>
      </c>
      <c r="G16" s="11">
        <v>279.79855028196295</v>
      </c>
      <c r="H16" s="11">
        <v>259.77904032510128</v>
      </c>
      <c r="I16" s="11">
        <v>240.11986839117498</v>
      </c>
      <c r="J16" s="11">
        <v>220.99247786831137</v>
      </c>
      <c r="K16" s="11">
        <v>202.55819235875231</v>
      </c>
      <c r="L16" s="11">
        <v>184.96540462034395</v>
      </c>
      <c r="M16" s="11">
        <v>168.34720385479676</v>
      </c>
      <c r="N16" s="11">
        <v>152.81950064171903</v>
      </c>
      <c r="O16" s="11">
        <v>138.47968128530877</v>
      </c>
      <c r="P16" s="11">
        <v>125.40579554436108</v>
      </c>
      <c r="Q16" s="11">
        <v>113.65625565903019</v>
      </c>
      <c r="R16" s="11">
        <v>103.27000202761313</v>
      </c>
      <c r="S16" s="11">
        <v>94.267073192753429</v>
      </c>
      <c r="T16" s="11">
        <v>86.649505849399887</v>
      </c>
      <c r="U16" s="11">
        <v>80.402484730030508</v>
      </c>
      <c r="V16" s="11">
        <v>75.495662267998938</v>
      </c>
      <c r="W16" s="11">
        <v>71.884573223699761</v>
      </c>
      <c r="X16" s="11">
        <v>69.512078939056906</v>
      </c>
      <c r="Y16" s="11">
        <v>68.309788271570767</v>
      </c>
      <c r="Z16" s="11">
        <v>68.199416149669943</v>
      </c>
      <c r="AA16" s="11">
        <v>69.094054720487208</v>
      </c>
      <c r="AB16" s="11">
        <v>70.899345025827927</v>
      </c>
      <c r="AC16" s="11">
        <v>73.514548102708517</v>
      </c>
      <c r="AD16" s="11">
        <v>76.833522753588753</v>
      </c>
      <c r="AE16" s="11">
        <v>80.745622719866446</v>
      </c>
      <c r="AF16" s="11">
        <v>85.136528719347112</v>
      </c>
      <c r="AG16" s="11">
        <v>89.889031172461813</v>
      </c>
      <c r="AH16" s="11">
        <v>94.883778062866767</v>
      </c>
      <c r="AI16" s="11">
        <f t="shared" si="2"/>
        <v>100</v>
      </c>
      <c r="AJ16" s="11">
        <v>16</v>
      </c>
    </row>
    <row r="17" spans="1:36" x14ac:dyDescent="0.25">
      <c r="A17" s="8" t="s">
        <v>14</v>
      </c>
      <c r="B17" s="1" t="s">
        <v>12</v>
      </c>
      <c r="C17" s="1">
        <v>11325200</v>
      </c>
      <c r="E17" s="12">
        <f t="shared" si="0"/>
        <v>4.8275862068965524E-2</v>
      </c>
      <c r="F17" s="11">
        <f t="shared" si="1"/>
        <v>300</v>
      </c>
      <c r="G17" s="11">
        <v>279.79855028196289</v>
      </c>
      <c r="H17" s="11">
        <v>259.77904032510122</v>
      </c>
      <c r="I17" s="11">
        <v>240.11986839117492</v>
      </c>
      <c r="J17" s="11">
        <v>220.99247786831131</v>
      </c>
      <c r="K17" s="11">
        <v>202.55819235875225</v>
      </c>
      <c r="L17" s="11">
        <v>184.96540462034389</v>
      </c>
      <c r="M17" s="11">
        <v>168.34720385479673</v>
      </c>
      <c r="N17" s="11">
        <v>152.819500641719</v>
      </c>
      <c r="O17" s="11">
        <v>138.47968128530871</v>
      </c>
      <c r="P17" s="11">
        <v>125.40579554436104</v>
      </c>
      <c r="Q17" s="11">
        <v>113.65625565903017</v>
      </c>
      <c r="R17" s="11">
        <v>103.27000202761309</v>
      </c>
      <c r="S17" s="11">
        <v>94.267073192753386</v>
      </c>
      <c r="T17" s="11">
        <v>86.649505849399844</v>
      </c>
      <c r="U17" s="11">
        <v>80.40248473003048</v>
      </c>
      <c r="V17" s="11">
        <v>75.495662267998895</v>
      </c>
      <c r="W17" s="11">
        <v>71.884573223699732</v>
      </c>
      <c r="X17" s="11">
        <v>69.512078939056877</v>
      </c>
      <c r="Y17" s="11">
        <v>68.309788271570739</v>
      </c>
      <c r="Z17" s="11">
        <v>68.199416149669929</v>
      </c>
      <c r="AA17" s="11">
        <v>69.094054720487179</v>
      </c>
      <c r="AB17" s="11">
        <v>70.899345025827898</v>
      </c>
      <c r="AC17" s="11">
        <v>73.514548102708503</v>
      </c>
      <c r="AD17" s="11">
        <v>76.833522753588738</v>
      </c>
      <c r="AE17" s="11">
        <v>80.745622719866418</v>
      </c>
      <c r="AF17" s="11">
        <v>85.136528719347098</v>
      </c>
      <c r="AG17" s="11">
        <v>89.889031172461785</v>
      </c>
      <c r="AH17" s="11">
        <v>94.883778062866753</v>
      </c>
      <c r="AI17" s="11">
        <f t="shared" si="2"/>
        <v>100</v>
      </c>
      <c r="AJ17" s="11">
        <v>15</v>
      </c>
    </row>
    <row r="18" spans="1:36" x14ac:dyDescent="0.25">
      <c r="A18" s="7"/>
      <c r="B18" s="1" t="s">
        <v>13</v>
      </c>
      <c r="C18" s="1">
        <v>3868600</v>
      </c>
      <c r="E18" s="12">
        <f t="shared" si="0"/>
        <v>4.4827586206896558E-2</v>
      </c>
      <c r="F18" s="11">
        <f t="shared" si="1"/>
        <v>300</v>
      </c>
      <c r="G18" s="11">
        <v>279.79855028196289</v>
      </c>
      <c r="H18" s="11">
        <v>259.77904032510116</v>
      </c>
      <c r="I18" s="11">
        <v>240.11986839117489</v>
      </c>
      <c r="J18" s="11">
        <v>220.99247786831125</v>
      </c>
      <c r="K18" s="11">
        <v>202.55819235875219</v>
      </c>
      <c r="L18" s="11">
        <v>184.96540462034383</v>
      </c>
      <c r="M18" s="11">
        <v>168.3472038547967</v>
      </c>
      <c r="N18" s="11">
        <v>152.81950064171895</v>
      </c>
      <c r="O18" s="11">
        <v>138.47968128530869</v>
      </c>
      <c r="P18" s="11">
        <v>125.405795544361</v>
      </c>
      <c r="Q18" s="11">
        <v>113.65625565903014</v>
      </c>
      <c r="R18" s="11">
        <v>103.27000202761306</v>
      </c>
      <c r="S18" s="11">
        <v>94.267073192753344</v>
      </c>
      <c r="T18" s="11">
        <v>86.649505849399816</v>
      </c>
      <c r="U18" s="11">
        <v>80.402484730030466</v>
      </c>
      <c r="V18" s="11">
        <v>75.495662267998881</v>
      </c>
      <c r="W18" s="11">
        <v>71.884573223699704</v>
      </c>
      <c r="X18" s="11">
        <v>69.512078939056849</v>
      </c>
      <c r="Y18" s="11">
        <v>68.30978827157071</v>
      </c>
      <c r="Z18" s="11">
        <v>68.199416149669901</v>
      </c>
      <c r="AA18" s="11">
        <v>69.094054720487151</v>
      </c>
      <c r="AB18" s="11">
        <v>70.899345025827884</v>
      </c>
      <c r="AC18" s="11">
        <v>73.514548102708488</v>
      </c>
      <c r="AD18" s="11">
        <v>76.83352275358871</v>
      </c>
      <c r="AE18" s="11">
        <v>80.745622719866404</v>
      </c>
      <c r="AF18" s="11">
        <v>85.136528719347069</v>
      </c>
      <c r="AG18" s="11">
        <v>89.889031172461756</v>
      </c>
      <c r="AH18" s="11">
        <v>94.883778062866725</v>
      </c>
      <c r="AI18" s="11">
        <f t="shared" si="2"/>
        <v>100</v>
      </c>
      <c r="AJ18" s="11">
        <v>14</v>
      </c>
    </row>
    <row r="19" spans="1:36" x14ac:dyDescent="0.25">
      <c r="E19" s="12">
        <f t="shared" si="0"/>
        <v>4.1379310344827593E-2</v>
      </c>
      <c r="F19" s="11">
        <f t="shared" si="1"/>
        <v>300</v>
      </c>
      <c r="G19" s="11">
        <v>279.79855028196283</v>
      </c>
      <c r="H19" s="11">
        <v>259.77904032510116</v>
      </c>
      <c r="I19" s="11">
        <v>240.11986839117486</v>
      </c>
      <c r="J19" s="11">
        <v>220.9924778683112</v>
      </c>
      <c r="K19" s="11">
        <v>202.55819235875217</v>
      </c>
      <c r="L19" s="11">
        <v>184.9654046203438</v>
      </c>
      <c r="M19" s="11">
        <v>168.34720385479665</v>
      </c>
      <c r="N19" s="11">
        <v>152.81950064171895</v>
      </c>
      <c r="O19" s="11">
        <v>138.47968128530866</v>
      </c>
      <c r="P19" s="11">
        <v>125.40579554436097</v>
      </c>
      <c r="Q19" s="11">
        <v>113.65625565903011</v>
      </c>
      <c r="R19" s="11">
        <v>103.27000202761303</v>
      </c>
      <c r="S19" s="11">
        <v>94.267073192753315</v>
      </c>
      <c r="T19" s="11">
        <v>86.649505849399802</v>
      </c>
      <c r="U19" s="11">
        <v>80.402484730030437</v>
      </c>
      <c r="V19" s="11">
        <v>75.495662267998867</v>
      </c>
      <c r="W19" s="11">
        <v>71.884573223699689</v>
      </c>
      <c r="X19" s="11">
        <v>69.512078939056835</v>
      </c>
      <c r="Y19" s="11">
        <v>68.309788271570682</v>
      </c>
      <c r="Z19" s="11">
        <v>68.199416149669872</v>
      </c>
      <c r="AA19" s="11">
        <v>69.094054720487136</v>
      </c>
      <c r="AB19" s="11">
        <v>70.899345025827856</v>
      </c>
      <c r="AC19" s="11">
        <v>73.51454810270846</v>
      </c>
      <c r="AD19" s="11">
        <v>76.833522753588696</v>
      </c>
      <c r="AE19" s="11">
        <v>80.74562271986639</v>
      </c>
      <c r="AF19" s="11">
        <v>85.136528719347069</v>
      </c>
      <c r="AG19" s="11">
        <v>89.889031172461756</v>
      </c>
      <c r="AH19" s="11">
        <v>94.883778062866725</v>
      </c>
      <c r="AI19" s="11">
        <f t="shared" si="2"/>
        <v>100</v>
      </c>
      <c r="AJ19" s="11">
        <v>13</v>
      </c>
    </row>
    <row r="20" spans="1:36" x14ac:dyDescent="0.25">
      <c r="A20" s="5"/>
      <c r="B20" s="1" t="s">
        <v>11</v>
      </c>
      <c r="C20" s="1">
        <v>3868600</v>
      </c>
      <c r="E20" s="12">
        <f t="shared" si="0"/>
        <v>3.7931034482758627E-2</v>
      </c>
      <c r="F20" s="11">
        <f t="shared" si="1"/>
        <v>300</v>
      </c>
      <c r="G20" s="11">
        <v>279.79855028196289</v>
      </c>
      <c r="H20" s="11">
        <v>259.77904032510116</v>
      </c>
      <c r="I20" s="11">
        <v>240.11986839117489</v>
      </c>
      <c r="J20" s="11">
        <v>220.99247786831125</v>
      </c>
      <c r="K20" s="11">
        <v>202.55819235875219</v>
      </c>
      <c r="L20" s="11">
        <v>184.9654046203438</v>
      </c>
      <c r="M20" s="11">
        <v>168.34720385479667</v>
      </c>
      <c r="N20" s="11">
        <v>152.81950064171897</v>
      </c>
      <c r="O20" s="11">
        <v>138.47968128530869</v>
      </c>
      <c r="P20" s="11">
        <v>125.40579554436098</v>
      </c>
      <c r="Q20" s="11">
        <v>113.65625565903011</v>
      </c>
      <c r="R20" s="11">
        <v>103.27000202761303</v>
      </c>
      <c r="S20" s="11">
        <v>94.267073192753315</v>
      </c>
      <c r="T20" s="11">
        <v>86.649505849399802</v>
      </c>
      <c r="U20" s="11">
        <v>80.402484730030437</v>
      </c>
      <c r="V20" s="11">
        <v>75.495662267998867</v>
      </c>
      <c r="W20" s="11">
        <v>71.884573223699689</v>
      </c>
      <c r="X20" s="11">
        <v>69.512078939056835</v>
      </c>
      <c r="Y20" s="11">
        <v>68.309788271570682</v>
      </c>
      <c r="Z20" s="11">
        <v>68.199416149669872</v>
      </c>
      <c r="AA20" s="11">
        <v>69.094054720487136</v>
      </c>
      <c r="AB20" s="11">
        <v>70.89934502582787</v>
      </c>
      <c r="AC20" s="11">
        <v>73.51454810270846</v>
      </c>
      <c r="AD20" s="11">
        <v>76.83352275358871</v>
      </c>
      <c r="AE20" s="11">
        <v>80.745622719866404</v>
      </c>
      <c r="AF20" s="11">
        <v>85.136528719347069</v>
      </c>
      <c r="AG20" s="11">
        <v>89.889031172461756</v>
      </c>
      <c r="AH20" s="11">
        <v>94.883778062866739</v>
      </c>
      <c r="AI20" s="11">
        <f t="shared" si="2"/>
        <v>100</v>
      </c>
      <c r="AJ20" s="11">
        <v>12</v>
      </c>
    </row>
    <row r="21" spans="1:36" x14ac:dyDescent="0.25">
      <c r="A21" s="8" t="s">
        <v>15</v>
      </c>
      <c r="B21" s="1" t="s">
        <v>12</v>
      </c>
      <c r="C21" s="1">
        <v>11325200</v>
      </c>
      <c r="E21" s="12">
        <f t="shared" si="0"/>
        <v>3.4482758620689662E-2</v>
      </c>
      <c r="F21" s="11">
        <f t="shared" si="1"/>
        <v>300</v>
      </c>
      <c r="G21" s="11">
        <v>279.79855028196289</v>
      </c>
      <c r="H21" s="11">
        <v>259.77904032510122</v>
      </c>
      <c r="I21" s="11">
        <v>240.11986839117492</v>
      </c>
      <c r="J21" s="11">
        <v>220.99247786831125</v>
      </c>
      <c r="K21" s="11">
        <v>202.55819235875225</v>
      </c>
      <c r="L21" s="11">
        <v>184.96540462034386</v>
      </c>
      <c r="M21" s="11">
        <v>168.34720385479673</v>
      </c>
      <c r="N21" s="11">
        <v>152.819500641719</v>
      </c>
      <c r="O21" s="11">
        <v>138.47968128530871</v>
      </c>
      <c r="P21" s="11">
        <v>125.40579554436101</v>
      </c>
      <c r="Q21" s="11">
        <v>113.65625565903014</v>
      </c>
      <c r="R21" s="11">
        <v>103.27000202761303</v>
      </c>
      <c r="S21" s="11">
        <v>94.267073192753344</v>
      </c>
      <c r="T21" s="11">
        <v>86.649505849399816</v>
      </c>
      <c r="U21" s="11">
        <v>80.402484730030437</v>
      </c>
      <c r="V21" s="11">
        <v>75.495662267998867</v>
      </c>
      <c r="W21" s="11">
        <v>71.884573223699689</v>
      </c>
      <c r="X21" s="11">
        <v>69.512078939056849</v>
      </c>
      <c r="Y21" s="11">
        <v>68.309788271570682</v>
      </c>
      <c r="Z21" s="11">
        <v>68.199416149669887</v>
      </c>
      <c r="AA21" s="11">
        <v>69.094054720487151</v>
      </c>
      <c r="AB21" s="11">
        <v>70.89934502582787</v>
      </c>
      <c r="AC21" s="11">
        <v>73.514548102708488</v>
      </c>
      <c r="AD21" s="11">
        <v>76.833522753588724</v>
      </c>
      <c r="AE21" s="11">
        <v>80.745622719866432</v>
      </c>
      <c r="AF21" s="11">
        <v>85.136528719347098</v>
      </c>
      <c r="AG21" s="11">
        <v>89.889031172461785</v>
      </c>
      <c r="AH21" s="11">
        <v>94.883778062866753</v>
      </c>
      <c r="AI21" s="11">
        <f t="shared" si="2"/>
        <v>100</v>
      </c>
      <c r="AJ21" s="11">
        <v>11</v>
      </c>
    </row>
    <row r="22" spans="1:36" x14ac:dyDescent="0.25">
      <c r="A22" s="7"/>
      <c r="B22" s="1" t="s">
        <v>13</v>
      </c>
      <c r="C22" s="1">
        <v>3868600</v>
      </c>
      <c r="E22" s="12">
        <f t="shared" si="0"/>
        <v>3.1034482758620693E-2</v>
      </c>
      <c r="F22" s="11">
        <f t="shared" si="1"/>
        <v>300</v>
      </c>
      <c r="G22" s="11">
        <v>279.79855028196289</v>
      </c>
      <c r="H22" s="11">
        <v>259.77904032510116</v>
      </c>
      <c r="I22" s="11">
        <v>240.11986839117495</v>
      </c>
      <c r="J22" s="11">
        <v>220.99247786831125</v>
      </c>
      <c r="K22" s="11">
        <v>202.55819235875225</v>
      </c>
      <c r="L22" s="11">
        <v>184.96540462034389</v>
      </c>
      <c r="M22" s="11">
        <v>168.34720385479676</v>
      </c>
      <c r="N22" s="11">
        <v>152.819500641719</v>
      </c>
      <c r="O22" s="11">
        <v>138.47968128530871</v>
      </c>
      <c r="P22" s="11">
        <v>125.40579554436104</v>
      </c>
      <c r="Q22" s="11">
        <v>113.65625565903014</v>
      </c>
      <c r="R22" s="11">
        <v>103.27000202761303</v>
      </c>
      <c r="S22" s="11">
        <v>94.267073192753344</v>
      </c>
      <c r="T22" s="11">
        <v>86.649505849399816</v>
      </c>
      <c r="U22" s="11">
        <v>80.402484730030437</v>
      </c>
      <c r="V22" s="11">
        <v>75.495662267998867</v>
      </c>
      <c r="W22" s="11">
        <v>71.884573223699689</v>
      </c>
      <c r="X22" s="11">
        <v>69.512078939056849</v>
      </c>
      <c r="Y22" s="11">
        <v>68.309788271570696</v>
      </c>
      <c r="Z22" s="11">
        <v>68.199416149669901</v>
      </c>
      <c r="AA22" s="11">
        <v>69.094054720487151</v>
      </c>
      <c r="AB22" s="11">
        <v>70.89934502582787</v>
      </c>
      <c r="AC22" s="11">
        <v>73.514548102708488</v>
      </c>
      <c r="AD22" s="11">
        <v>76.833522753588738</v>
      </c>
      <c r="AE22" s="11">
        <v>80.745622719866446</v>
      </c>
      <c r="AF22" s="11">
        <v>85.136528719347098</v>
      </c>
      <c r="AG22" s="11">
        <v>89.889031172461785</v>
      </c>
      <c r="AH22" s="11">
        <v>94.883778062866753</v>
      </c>
      <c r="AI22" s="11">
        <f t="shared" si="2"/>
        <v>100</v>
      </c>
      <c r="AJ22" s="11">
        <v>10</v>
      </c>
    </row>
    <row r="23" spans="1:36" x14ac:dyDescent="0.25">
      <c r="E23" s="12">
        <f t="shared" si="0"/>
        <v>2.7586206896551727E-2</v>
      </c>
      <c r="F23" s="11">
        <f t="shared" si="1"/>
        <v>300</v>
      </c>
      <c r="G23" s="11">
        <v>279.79855028196289</v>
      </c>
      <c r="H23" s="11">
        <v>259.77904032510116</v>
      </c>
      <c r="I23" s="11">
        <v>240.11986839117492</v>
      </c>
      <c r="J23" s="11">
        <v>220.99247786831131</v>
      </c>
      <c r="K23" s="11">
        <v>202.55819235875225</v>
      </c>
      <c r="L23" s="11">
        <v>184.96540462034392</v>
      </c>
      <c r="M23" s="11">
        <v>168.34720385479676</v>
      </c>
      <c r="N23" s="11">
        <v>152.819500641719</v>
      </c>
      <c r="O23" s="11">
        <v>138.47968128530871</v>
      </c>
      <c r="P23" s="11">
        <v>125.40579554436104</v>
      </c>
      <c r="Q23" s="11">
        <v>113.65625565903014</v>
      </c>
      <c r="R23" s="11">
        <v>103.27000202761305</v>
      </c>
      <c r="S23" s="11">
        <v>94.267073192753358</v>
      </c>
      <c r="T23" s="11">
        <v>86.649505849399816</v>
      </c>
      <c r="U23" s="11">
        <v>80.402484730030451</v>
      </c>
      <c r="V23" s="11">
        <v>75.495662267998867</v>
      </c>
      <c r="W23" s="11">
        <v>71.884573223699689</v>
      </c>
      <c r="X23" s="11">
        <v>69.512078939056863</v>
      </c>
      <c r="Y23" s="11">
        <v>68.30978827157071</v>
      </c>
      <c r="Z23" s="11">
        <v>68.199416149669901</v>
      </c>
      <c r="AA23" s="11">
        <v>69.094054720487165</v>
      </c>
      <c r="AB23" s="11">
        <v>70.899345025827884</v>
      </c>
      <c r="AC23" s="11">
        <v>73.514548102708488</v>
      </c>
      <c r="AD23" s="11">
        <v>76.833522753588738</v>
      </c>
      <c r="AE23" s="11">
        <v>80.745622719866432</v>
      </c>
      <c r="AF23" s="11">
        <v>85.136528719347098</v>
      </c>
      <c r="AG23" s="11">
        <v>89.889031172461785</v>
      </c>
      <c r="AH23" s="11">
        <v>94.883778062866753</v>
      </c>
      <c r="AI23" s="11">
        <f t="shared" si="2"/>
        <v>100</v>
      </c>
      <c r="AJ23" s="11">
        <v>9</v>
      </c>
    </row>
    <row r="24" spans="1:36" x14ac:dyDescent="0.25">
      <c r="E24" s="12">
        <f t="shared" si="0"/>
        <v>2.4137931034482762E-2</v>
      </c>
      <c r="F24" s="11">
        <f t="shared" si="1"/>
        <v>300</v>
      </c>
      <c r="G24" s="11">
        <v>279.79855028196295</v>
      </c>
      <c r="H24" s="11">
        <v>259.77904032510128</v>
      </c>
      <c r="I24" s="11">
        <v>240.11986839117498</v>
      </c>
      <c r="J24" s="11">
        <v>220.99247786831137</v>
      </c>
      <c r="K24" s="11">
        <v>202.55819235875231</v>
      </c>
      <c r="L24" s="11">
        <v>184.96540462034395</v>
      </c>
      <c r="M24" s="11">
        <v>168.34720385479676</v>
      </c>
      <c r="N24" s="11">
        <v>152.819500641719</v>
      </c>
      <c r="O24" s="11">
        <v>138.47968128530874</v>
      </c>
      <c r="P24" s="11">
        <v>125.40579554436108</v>
      </c>
      <c r="Q24" s="11">
        <v>113.65625565903017</v>
      </c>
      <c r="R24" s="11">
        <v>103.27000202761309</v>
      </c>
      <c r="S24" s="11">
        <v>94.267073192753386</v>
      </c>
      <c r="T24" s="11">
        <v>86.649505849399844</v>
      </c>
      <c r="U24" s="11">
        <v>80.402484730030494</v>
      </c>
      <c r="V24" s="11">
        <v>75.495662267998881</v>
      </c>
      <c r="W24" s="11">
        <v>71.884573223699718</v>
      </c>
      <c r="X24" s="11">
        <v>69.512078939056892</v>
      </c>
      <c r="Y24" s="11">
        <v>68.309788271570739</v>
      </c>
      <c r="Z24" s="11">
        <v>68.199416149669929</v>
      </c>
      <c r="AA24" s="11">
        <v>69.094054720487208</v>
      </c>
      <c r="AB24" s="11">
        <v>70.899345025827927</v>
      </c>
      <c r="AC24" s="11">
        <v>73.514548102708517</v>
      </c>
      <c r="AD24" s="11">
        <v>76.833522753588753</v>
      </c>
      <c r="AE24" s="11">
        <v>80.745622719866446</v>
      </c>
      <c r="AF24" s="11">
        <v>85.136528719347112</v>
      </c>
      <c r="AG24" s="11">
        <v>89.889031172461813</v>
      </c>
      <c r="AH24" s="11">
        <v>94.883778062866753</v>
      </c>
      <c r="AI24" s="11">
        <f t="shared" si="2"/>
        <v>100</v>
      </c>
      <c r="AJ24" s="11">
        <v>8</v>
      </c>
    </row>
    <row r="25" spans="1:36" x14ac:dyDescent="0.25">
      <c r="E25" s="12">
        <f t="shared" si="0"/>
        <v>2.0689655172413796E-2</v>
      </c>
      <c r="F25" s="11">
        <f t="shared" si="1"/>
        <v>300</v>
      </c>
      <c r="G25" s="11">
        <v>279.798550281963</v>
      </c>
      <c r="H25" s="11">
        <v>259.77904032510128</v>
      </c>
      <c r="I25" s="11">
        <v>240.119868391175</v>
      </c>
      <c r="J25" s="11">
        <v>220.99247786831137</v>
      </c>
      <c r="K25" s="11">
        <v>202.55819235875234</v>
      </c>
      <c r="L25" s="11">
        <v>184.96540462034395</v>
      </c>
      <c r="M25" s="11">
        <v>168.34720385479676</v>
      </c>
      <c r="N25" s="11">
        <v>152.819500641719</v>
      </c>
      <c r="O25" s="11">
        <v>138.47968128530874</v>
      </c>
      <c r="P25" s="11">
        <v>125.40579554436108</v>
      </c>
      <c r="Q25" s="11">
        <v>113.65625565903018</v>
      </c>
      <c r="R25" s="11">
        <v>103.2700020276131</v>
      </c>
      <c r="S25" s="11">
        <v>94.267073192753401</v>
      </c>
      <c r="T25" s="11">
        <v>86.649505849399858</v>
      </c>
      <c r="U25" s="11">
        <v>80.402484730030494</v>
      </c>
      <c r="V25" s="11">
        <v>75.495662267998895</v>
      </c>
      <c r="W25" s="11">
        <v>71.884573223699732</v>
      </c>
      <c r="X25" s="11">
        <v>69.512078939056892</v>
      </c>
      <c r="Y25" s="11">
        <v>68.309788271570753</v>
      </c>
      <c r="Z25" s="11">
        <v>68.199416149669943</v>
      </c>
      <c r="AA25" s="11">
        <v>69.094054720487208</v>
      </c>
      <c r="AB25" s="11">
        <v>70.899345025827927</v>
      </c>
      <c r="AC25" s="11">
        <v>73.514548102708531</v>
      </c>
      <c r="AD25" s="11">
        <v>76.833522753588753</v>
      </c>
      <c r="AE25" s="11">
        <v>80.745622719866446</v>
      </c>
      <c r="AF25" s="11">
        <v>85.136528719347112</v>
      </c>
      <c r="AG25" s="11">
        <v>89.889031172461813</v>
      </c>
      <c r="AH25" s="11">
        <v>94.883778062866753</v>
      </c>
      <c r="AI25" s="11">
        <f t="shared" si="2"/>
        <v>100</v>
      </c>
      <c r="AJ25" s="11">
        <v>7</v>
      </c>
    </row>
    <row r="26" spans="1:36" x14ac:dyDescent="0.25">
      <c r="E26" s="12">
        <f t="shared" si="0"/>
        <v>1.7241379310344831E-2</v>
      </c>
      <c r="F26" s="11">
        <f t="shared" si="1"/>
        <v>300</v>
      </c>
      <c r="G26" s="11">
        <v>279.79855028196289</v>
      </c>
      <c r="H26" s="11">
        <v>259.77904032510128</v>
      </c>
      <c r="I26" s="11">
        <v>240.119868391175</v>
      </c>
      <c r="J26" s="11">
        <v>220.99247786831137</v>
      </c>
      <c r="K26" s="11">
        <v>202.55819235875234</v>
      </c>
      <c r="L26" s="11">
        <v>184.96540462034395</v>
      </c>
      <c r="M26" s="11">
        <v>168.34720385479676</v>
      </c>
      <c r="N26" s="11">
        <v>152.819500641719</v>
      </c>
      <c r="O26" s="11">
        <v>138.47968128530874</v>
      </c>
      <c r="P26" s="11">
        <v>125.40579554436107</v>
      </c>
      <c r="Q26" s="11">
        <v>113.65625565903017</v>
      </c>
      <c r="R26" s="11">
        <v>103.27000202761309</v>
      </c>
      <c r="S26" s="11">
        <v>94.267073192753386</v>
      </c>
      <c r="T26" s="11">
        <v>86.649505849399844</v>
      </c>
      <c r="U26" s="11">
        <v>80.40248473003048</v>
      </c>
      <c r="V26" s="11">
        <v>75.495662267998895</v>
      </c>
      <c r="W26" s="11">
        <v>71.884573223699732</v>
      </c>
      <c r="X26" s="11">
        <v>69.512078939056892</v>
      </c>
      <c r="Y26" s="11">
        <v>68.309788271570739</v>
      </c>
      <c r="Z26" s="11">
        <v>68.199416149669943</v>
      </c>
      <c r="AA26" s="11">
        <v>69.094054720487208</v>
      </c>
      <c r="AB26" s="11">
        <v>70.899345025827927</v>
      </c>
      <c r="AC26" s="11">
        <v>73.514548102708517</v>
      </c>
      <c r="AD26" s="11">
        <v>76.833522753588738</v>
      </c>
      <c r="AE26" s="11">
        <v>80.745622719866432</v>
      </c>
      <c r="AF26" s="11">
        <v>85.136528719347098</v>
      </c>
      <c r="AG26" s="11">
        <v>89.889031172461785</v>
      </c>
      <c r="AH26" s="11">
        <v>94.883778062866753</v>
      </c>
      <c r="AI26" s="11">
        <f t="shared" si="2"/>
        <v>100</v>
      </c>
      <c r="AJ26" s="11">
        <v>6</v>
      </c>
    </row>
    <row r="27" spans="1:36" x14ac:dyDescent="0.25">
      <c r="E27" s="12">
        <f t="shared" si="0"/>
        <v>1.3793103448275864E-2</v>
      </c>
      <c r="F27" s="11">
        <f t="shared" si="1"/>
        <v>300</v>
      </c>
      <c r="G27" s="11">
        <v>279.79855028196289</v>
      </c>
      <c r="H27" s="11">
        <v>259.77904032510128</v>
      </c>
      <c r="I27" s="11">
        <v>240.11986839117503</v>
      </c>
      <c r="J27" s="11">
        <v>220.99247786831143</v>
      </c>
      <c r="K27" s="11">
        <v>202.55819235875236</v>
      </c>
      <c r="L27" s="11">
        <v>184.96540462034395</v>
      </c>
      <c r="M27" s="11">
        <v>168.34720385479676</v>
      </c>
      <c r="N27" s="11">
        <v>152.819500641719</v>
      </c>
      <c r="O27" s="11">
        <v>138.47968128530877</v>
      </c>
      <c r="P27" s="11">
        <v>125.40579554436107</v>
      </c>
      <c r="Q27" s="11">
        <v>113.65625565903017</v>
      </c>
      <c r="R27" s="11">
        <v>103.27000202761309</v>
      </c>
      <c r="S27" s="11">
        <v>94.267073192753386</v>
      </c>
      <c r="T27" s="11">
        <v>86.649505849399844</v>
      </c>
      <c r="U27" s="11">
        <v>80.40248473003048</v>
      </c>
      <c r="V27" s="11">
        <v>75.495662267998895</v>
      </c>
      <c r="W27" s="11">
        <v>71.884573223699732</v>
      </c>
      <c r="X27" s="11">
        <v>69.512078939056892</v>
      </c>
      <c r="Y27" s="11">
        <v>68.309788271570753</v>
      </c>
      <c r="Z27" s="11">
        <v>68.199416149669943</v>
      </c>
      <c r="AA27" s="11">
        <v>69.094054720487208</v>
      </c>
      <c r="AB27" s="11">
        <v>70.899345025827927</v>
      </c>
      <c r="AC27" s="11">
        <v>73.514548102708517</v>
      </c>
      <c r="AD27" s="11">
        <v>76.833522753588738</v>
      </c>
      <c r="AE27" s="11">
        <v>80.745622719866432</v>
      </c>
      <c r="AF27" s="11">
        <v>85.136528719347098</v>
      </c>
      <c r="AG27" s="11">
        <v>89.889031172461799</v>
      </c>
      <c r="AH27" s="11">
        <v>94.883778062866753</v>
      </c>
      <c r="AI27" s="11">
        <f t="shared" si="2"/>
        <v>100</v>
      </c>
      <c r="AJ27" s="11">
        <v>5</v>
      </c>
    </row>
    <row r="28" spans="1:36" x14ac:dyDescent="0.25">
      <c r="E28" s="12">
        <f t="shared" si="0"/>
        <v>1.0344827586206898E-2</v>
      </c>
      <c r="F28" s="11">
        <f t="shared" si="1"/>
        <v>300</v>
      </c>
      <c r="G28" s="11">
        <v>279.79855028196289</v>
      </c>
      <c r="H28" s="11">
        <v>259.77904032510122</v>
      </c>
      <c r="I28" s="11">
        <v>240.11986839117498</v>
      </c>
      <c r="J28" s="11">
        <v>220.9924778683114</v>
      </c>
      <c r="K28" s="11">
        <v>202.55819235875234</v>
      </c>
      <c r="L28" s="11">
        <v>184.96540462034397</v>
      </c>
      <c r="M28" s="11">
        <v>168.34720385479676</v>
      </c>
      <c r="N28" s="11">
        <v>152.819500641719</v>
      </c>
      <c r="O28" s="11">
        <v>138.47968128530874</v>
      </c>
      <c r="P28" s="11">
        <v>125.40579554436106</v>
      </c>
      <c r="Q28" s="11">
        <v>113.65625565903014</v>
      </c>
      <c r="R28" s="11">
        <v>103.27000202761309</v>
      </c>
      <c r="S28" s="11">
        <v>94.267073192753372</v>
      </c>
      <c r="T28" s="11">
        <v>86.649505849399844</v>
      </c>
      <c r="U28" s="11">
        <v>80.402484730030466</v>
      </c>
      <c r="V28" s="11">
        <v>75.495662267998881</v>
      </c>
      <c r="W28" s="11">
        <v>71.884573223699732</v>
      </c>
      <c r="X28" s="11">
        <v>69.512078939056892</v>
      </c>
      <c r="Y28" s="11">
        <v>68.309788271570739</v>
      </c>
      <c r="Z28" s="11">
        <v>68.199416149669929</v>
      </c>
      <c r="AA28" s="11">
        <v>69.094054720487179</v>
      </c>
      <c r="AB28" s="11">
        <v>70.899345025827927</v>
      </c>
      <c r="AC28" s="11">
        <v>73.514548102708517</v>
      </c>
      <c r="AD28" s="11">
        <v>76.833522753588738</v>
      </c>
      <c r="AE28" s="11">
        <v>80.745622719866432</v>
      </c>
      <c r="AF28" s="11">
        <v>85.136528719347098</v>
      </c>
      <c r="AG28" s="11">
        <v>89.889031172461785</v>
      </c>
      <c r="AH28" s="11">
        <v>94.883778062866753</v>
      </c>
      <c r="AI28" s="11">
        <f t="shared" si="2"/>
        <v>100</v>
      </c>
      <c r="AJ28" s="11">
        <v>4</v>
      </c>
    </row>
    <row r="29" spans="1:36" x14ac:dyDescent="0.25">
      <c r="E29" s="12">
        <f t="shared" si="0"/>
        <v>6.8965517241379318E-3</v>
      </c>
      <c r="F29" s="11">
        <f t="shared" si="1"/>
        <v>300</v>
      </c>
      <c r="G29" s="11">
        <v>279.79855028196289</v>
      </c>
      <c r="H29" s="11">
        <v>259.77904032510116</v>
      </c>
      <c r="I29" s="11">
        <v>240.11986839117492</v>
      </c>
      <c r="J29" s="11">
        <v>220.99247786831131</v>
      </c>
      <c r="K29" s="11">
        <v>202.55819235875225</v>
      </c>
      <c r="L29" s="11">
        <v>184.96540462034392</v>
      </c>
      <c r="M29" s="11">
        <v>168.34720385479676</v>
      </c>
      <c r="N29" s="11">
        <v>152.81950064171897</v>
      </c>
      <c r="O29" s="11">
        <v>138.47968128530871</v>
      </c>
      <c r="P29" s="11">
        <v>125.40579554436104</v>
      </c>
      <c r="Q29" s="11">
        <v>113.65625565903011</v>
      </c>
      <c r="R29" s="11">
        <v>103.27000202761307</v>
      </c>
      <c r="S29" s="11">
        <v>94.267073192753358</v>
      </c>
      <c r="T29" s="11">
        <v>86.649505849399816</v>
      </c>
      <c r="U29" s="11">
        <v>80.402484730030451</v>
      </c>
      <c r="V29" s="11">
        <v>75.495662267998867</v>
      </c>
      <c r="W29" s="11">
        <v>71.884573223699704</v>
      </c>
      <c r="X29" s="11">
        <v>69.512078939056877</v>
      </c>
      <c r="Y29" s="11">
        <v>68.30978827157071</v>
      </c>
      <c r="Z29" s="11">
        <v>68.199416149669901</v>
      </c>
      <c r="AA29" s="11">
        <v>69.094054720487165</v>
      </c>
      <c r="AB29" s="11">
        <v>70.899345025827898</v>
      </c>
      <c r="AC29" s="11">
        <v>73.514548102708503</v>
      </c>
      <c r="AD29" s="11">
        <v>76.833522753588738</v>
      </c>
      <c r="AE29" s="11">
        <v>80.745622719866418</v>
      </c>
      <c r="AF29" s="11">
        <v>85.136528719347098</v>
      </c>
      <c r="AG29" s="11">
        <v>89.889031172461785</v>
      </c>
      <c r="AH29" s="11">
        <v>94.883778062866753</v>
      </c>
      <c r="AI29" s="11">
        <f t="shared" si="2"/>
        <v>100</v>
      </c>
      <c r="AJ29" s="11">
        <v>3</v>
      </c>
    </row>
    <row r="30" spans="1:36" x14ac:dyDescent="0.25">
      <c r="E30" s="12">
        <f t="shared" si="0"/>
        <v>3.4482758620689659E-3</v>
      </c>
      <c r="F30" s="11">
        <f t="shared" si="1"/>
        <v>300</v>
      </c>
      <c r="G30" s="11">
        <v>279.79855028196289</v>
      </c>
      <c r="H30" s="11">
        <v>259.77904032510116</v>
      </c>
      <c r="I30" s="11">
        <v>240.11986839117489</v>
      </c>
      <c r="J30" s="11">
        <v>220.99247786831125</v>
      </c>
      <c r="K30" s="11">
        <v>202.55819235875222</v>
      </c>
      <c r="L30" s="11">
        <v>184.96540462034389</v>
      </c>
      <c r="M30" s="11">
        <v>168.34720385479673</v>
      </c>
      <c r="N30" s="11">
        <v>152.81950064171895</v>
      </c>
      <c r="O30" s="11">
        <v>138.47968128530869</v>
      </c>
      <c r="P30" s="11">
        <v>125.40579554436101</v>
      </c>
      <c r="Q30" s="11">
        <v>113.65625565903011</v>
      </c>
      <c r="R30" s="11">
        <v>103.27000202761306</v>
      </c>
      <c r="S30" s="11">
        <v>94.267073192753344</v>
      </c>
      <c r="T30" s="11">
        <v>86.649505849399816</v>
      </c>
      <c r="U30" s="11">
        <v>80.402484730030437</v>
      </c>
      <c r="V30" s="11">
        <v>75.495662267998867</v>
      </c>
      <c r="W30" s="11">
        <v>71.884573223699704</v>
      </c>
      <c r="X30" s="11">
        <v>69.512078939056863</v>
      </c>
      <c r="Y30" s="11">
        <v>68.30978827157071</v>
      </c>
      <c r="Z30" s="11">
        <v>68.199416149669901</v>
      </c>
      <c r="AA30" s="11">
        <v>69.094054720487151</v>
      </c>
      <c r="AB30" s="11">
        <v>70.899345025827898</v>
      </c>
      <c r="AC30" s="11">
        <v>73.514548102708488</v>
      </c>
      <c r="AD30" s="11">
        <v>76.833522753588738</v>
      </c>
      <c r="AE30" s="11">
        <v>80.745622719866418</v>
      </c>
      <c r="AF30" s="11">
        <v>85.136528719347098</v>
      </c>
      <c r="AG30" s="11">
        <v>89.889031172461785</v>
      </c>
      <c r="AH30" s="11">
        <v>94.883778062866753</v>
      </c>
      <c r="AI30" s="11">
        <f t="shared" si="2"/>
        <v>100</v>
      </c>
      <c r="AJ30" s="11">
        <v>2</v>
      </c>
    </row>
    <row r="31" spans="1:36" x14ac:dyDescent="0.25">
      <c r="E31" s="11">
        <v>0</v>
      </c>
      <c r="F31" s="11">
        <f t="shared" si="1"/>
        <v>300</v>
      </c>
      <c r="G31" s="11">
        <v>279.79855028196289</v>
      </c>
      <c r="H31" s="11">
        <v>259.77904032510116</v>
      </c>
      <c r="I31" s="11">
        <v>240.11986839117489</v>
      </c>
      <c r="J31" s="11">
        <v>220.99247786831125</v>
      </c>
      <c r="K31" s="11">
        <v>202.55819235875222</v>
      </c>
      <c r="L31" s="11">
        <v>184.96540462034389</v>
      </c>
      <c r="M31" s="11">
        <v>168.34720385479673</v>
      </c>
      <c r="N31" s="11">
        <v>152.81950064171895</v>
      </c>
      <c r="O31" s="11">
        <v>138.47968128530869</v>
      </c>
      <c r="P31" s="11">
        <v>125.40579554436101</v>
      </c>
      <c r="Q31" s="11">
        <v>113.65625565903011</v>
      </c>
      <c r="R31" s="11">
        <v>103.27000202761306</v>
      </c>
      <c r="S31" s="11">
        <v>94.267073192753344</v>
      </c>
      <c r="T31" s="11">
        <v>86.649505849399816</v>
      </c>
      <c r="U31" s="11">
        <v>80.402484730030437</v>
      </c>
      <c r="V31" s="11">
        <v>75.495662267998867</v>
      </c>
      <c r="W31" s="11">
        <v>71.884573223699704</v>
      </c>
      <c r="X31" s="11">
        <v>69.512078939056863</v>
      </c>
      <c r="Y31" s="11">
        <v>68.30978827157071</v>
      </c>
      <c r="Z31" s="11">
        <v>68.199416149669901</v>
      </c>
      <c r="AA31" s="11">
        <v>69.094054720487151</v>
      </c>
      <c r="AB31" s="11">
        <v>70.899345025827898</v>
      </c>
      <c r="AC31" s="11">
        <v>73.514548102708488</v>
      </c>
      <c r="AD31" s="11">
        <v>76.833522753588738</v>
      </c>
      <c r="AE31" s="11">
        <v>80.745622719866418</v>
      </c>
      <c r="AF31" s="11">
        <v>85.136528719347098</v>
      </c>
      <c r="AG31" s="11">
        <v>89.889031172461785</v>
      </c>
      <c r="AH31" s="11">
        <v>94.883778062866753</v>
      </c>
      <c r="AI31" s="11">
        <f t="shared" si="2"/>
        <v>100</v>
      </c>
      <c r="AJ31" s="11">
        <v>1</v>
      </c>
    </row>
    <row r="32" spans="1:36" x14ac:dyDescent="0.25">
      <c r="E32" s="13"/>
      <c r="F32" s="13">
        <v>0</v>
      </c>
      <c r="G32" s="14">
        <f>F32+$C$4</f>
        <v>3.4482758620689659E-3</v>
      </c>
      <c r="H32" s="14">
        <f t="shared" ref="H32:AI32" si="3">G32+$C$4</f>
        <v>6.8965517241379318E-3</v>
      </c>
      <c r="I32" s="14">
        <f t="shared" si="3"/>
        <v>1.0344827586206898E-2</v>
      </c>
      <c r="J32" s="14">
        <f t="shared" si="3"/>
        <v>1.3793103448275864E-2</v>
      </c>
      <c r="K32" s="14">
        <f t="shared" si="3"/>
        <v>1.7241379310344831E-2</v>
      </c>
      <c r="L32" s="14">
        <f t="shared" si="3"/>
        <v>2.0689655172413796E-2</v>
      </c>
      <c r="M32" s="14">
        <f t="shared" si="3"/>
        <v>2.4137931034482762E-2</v>
      </c>
      <c r="N32" s="14">
        <f t="shared" si="3"/>
        <v>2.7586206896551727E-2</v>
      </c>
      <c r="O32" s="14">
        <f t="shared" si="3"/>
        <v>3.1034482758620693E-2</v>
      </c>
      <c r="P32" s="14">
        <f t="shared" si="3"/>
        <v>3.4482758620689662E-2</v>
      </c>
      <c r="Q32" s="14">
        <f t="shared" si="3"/>
        <v>3.7931034482758627E-2</v>
      </c>
      <c r="R32" s="14">
        <f t="shared" si="3"/>
        <v>4.1379310344827593E-2</v>
      </c>
      <c r="S32" s="14">
        <f t="shared" si="3"/>
        <v>4.4827586206896558E-2</v>
      </c>
      <c r="T32" s="14">
        <f t="shared" si="3"/>
        <v>4.8275862068965524E-2</v>
      </c>
      <c r="U32" s="14">
        <f t="shared" si="3"/>
        <v>5.1724137931034489E-2</v>
      </c>
      <c r="V32" s="14">
        <f t="shared" si="3"/>
        <v>5.5172413793103454E-2</v>
      </c>
      <c r="W32" s="14">
        <f t="shared" si="3"/>
        <v>5.862068965517242E-2</v>
      </c>
      <c r="X32" s="14">
        <f t="shared" si="3"/>
        <v>6.2068965517241385E-2</v>
      </c>
      <c r="Y32" s="14">
        <f t="shared" si="3"/>
        <v>6.5517241379310351E-2</v>
      </c>
      <c r="Z32" s="14">
        <f t="shared" si="3"/>
        <v>6.8965517241379323E-2</v>
      </c>
      <c r="AA32" s="14">
        <f t="shared" si="3"/>
        <v>7.2413793103448296E-2</v>
      </c>
      <c r="AB32" s="14">
        <f t="shared" si="3"/>
        <v>7.5862068965517268E-2</v>
      </c>
      <c r="AC32" s="14">
        <f t="shared" si="3"/>
        <v>7.931034482758624E-2</v>
      </c>
      <c r="AD32" s="14">
        <f t="shared" si="3"/>
        <v>8.2758620689655213E-2</v>
      </c>
      <c r="AE32" s="14">
        <f t="shared" si="3"/>
        <v>8.6206896551724185E-2</v>
      </c>
      <c r="AF32" s="14">
        <f t="shared" si="3"/>
        <v>8.9655172413793158E-2</v>
      </c>
      <c r="AG32" s="14">
        <f t="shared" si="3"/>
        <v>9.310344827586213E-2</v>
      </c>
      <c r="AH32" s="14">
        <f t="shared" si="3"/>
        <v>9.6551724137931103E-2</v>
      </c>
      <c r="AI32" s="14">
        <f t="shared" si="3"/>
        <v>0.10000000000000007</v>
      </c>
      <c r="AJ32" s="11"/>
    </row>
    <row r="33" spans="5:131" x14ac:dyDescent="0.25">
      <c r="E33" s="1"/>
      <c r="F33" s="15">
        <v>300</v>
      </c>
      <c r="G33" s="15">
        <f t="shared" ref="G33:AG42" si="4">BS33*H33+CY33</f>
        <v>279.99075248592419</v>
      </c>
      <c r="H33" s="15">
        <f t="shared" si="4"/>
        <v>260.15976623117024</v>
      </c>
      <c r="I33" s="15">
        <f t="shared" si="4"/>
        <v>240.68189080487471</v>
      </c>
      <c r="J33" s="15">
        <f t="shared" si="4"/>
        <v>221.72527278962036</v>
      </c>
      <c r="K33" s="15">
        <f t="shared" si="4"/>
        <v>203.44829810209566</v>
      </c>
      <c r="L33" s="15">
        <f t="shared" si="4"/>
        <v>185.99686738580459</v>
      </c>
      <c r="M33" s="15">
        <f t="shared" si="4"/>
        <v>169.502084656504</v>
      </c>
      <c r="N33" s="15">
        <f t="shared" si="4"/>
        <v>154.07841610714544</v>
      </c>
      <c r="O33" s="15">
        <f t="shared" si="4"/>
        <v>139.82235048648161</v>
      </c>
      <c r="P33" s="15">
        <f t="shared" si="4"/>
        <v>126.81156664573982</v>
      </c>
      <c r="Q33" s="15">
        <f t="shared" si="4"/>
        <v>115.10458953398148</v>
      </c>
      <c r="R33" s="15">
        <f t="shared" si="4"/>
        <v>104.7408947319279</v>
      </c>
      <c r="S33" s="15">
        <f t="shared" si="4"/>
        <v>95.741404816158763</v>
      </c>
      <c r="T33" s="15">
        <f t="shared" si="4"/>
        <v>88.109309271680843</v>
      </c>
      <c r="U33" s="15">
        <f t="shared" si="4"/>
        <v>81.831133667011414</v>
      </c>
      <c r="V33" s="15">
        <f t="shared" si="4"/>
        <v>76.877983235760354</v>
      </c>
      <c r="W33" s="15">
        <f t="shared" si="4"/>
        <v>73.206890301362677</v>
      </c>
      <c r="X33" s="15">
        <f t="shared" si="4"/>
        <v>70.762203217829324</v>
      </c>
      <c r="Y33" s="15">
        <f t="shared" si="4"/>
        <v>69.476965524833773</v>
      </c>
      <c r="Z33" s="15">
        <f t="shared" si="4"/>
        <v>69.274246568514727</v>
      </c>
      <c r="AA33" s="15">
        <f t="shared" si="4"/>
        <v>70.068397679613923</v>
      </c>
      <c r="AB33" s="15">
        <f t="shared" si="4"/>
        <v>71.766220025099173</v>
      </c>
      <c r="AC33" s="15">
        <f t="shared" si="4"/>
        <v>74.268040586317383</v>
      </c>
      <c r="AD33" s="15">
        <f t="shared" si="4"/>
        <v>77.468700787505583</v>
      </c>
      <c r="AE33" s="15">
        <f t="shared" si="4"/>
        <v>81.258467845358453</v>
      </c>
      <c r="AF33" s="15">
        <f t="shared" si="4"/>
        <v>85.523881987496281</v>
      </c>
      <c r="AG33" s="15">
        <f t="shared" si="4"/>
        <v>90.148553619712899</v>
      </c>
      <c r="AH33" s="15">
        <f>CT33*AI33+DZ33</f>
        <v>95.01392383558678</v>
      </c>
      <c r="AI33" s="15">
        <v>100</v>
      </c>
      <c r="AK33" s="1"/>
      <c r="AL33" s="20">
        <f>-($C$10*$C$9*F2)/$C$7</f>
        <v>-1076400000</v>
      </c>
      <c r="AM33" s="20">
        <f>-($C$10*$C$9*G2)/$C$7</f>
        <v>-1003917198.4116837</v>
      </c>
      <c r="AN33" s="20">
        <f t="shared" ref="AN33:BO33" si="5">-($C$10*$C$9*H2)/$C$7</f>
        <v>-932087196.68646443</v>
      </c>
      <c r="AO33" s="20">
        <f t="shared" si="5"/>
        <v>-861550087.78753698</v>
      </c>
      <c r="AP33" s="20">
        <f t="shared" si="5"/>
        <v>-792921010.59150279</v>
      </c>
      <c r="AQ33" s="20">
        <f t="shared" si="5"/>
        <v>-726778794.18320477</v>
      </c>
      <c r="AR33" s="20">
        <f t="shared" si="5"/>
        <v>-663655871.77779567</v>
      </c>
      <c r="AS33" s="20">
        <f t="shared" si="5"/>
        <v>-604029767.43101239</v>
      </c>
      <c r="AT33" s="20">
        <f t="shared" si="5"/>
        <v>-548316368.30248952</v>
      </c>
      <c r="AU33" s="20">
        <f t="shared" si="5"/>
        <v>-496865096.45168948</v>
      </c>
      <c r="AV33" s="20">
        <f t="shared" si="5"/>
        <v>-449955994.41316915</v>
      </c>
      <c r="AW33" s="20">
        <f t="shared" si="5"/>
        <v>-407798645.30460173</v>
      </c>
      <c r="AX33" s="20">
        <f t="shared" si="5"/>
        <v>-370532767.27507716</v>
      </c>
      <c r="AY33" s="20">
        <f t="shared" si="5"/>
        <v>-338230258.61560041</v>
      </c>
      <c r="AZ33" s="20">
        <f t="shared" si="5"/>
        <v>-310898426.98764789</v>
      </c>
      <c r="BA33" s="20">
        <f t="shared" si="5"/>
        <v>-288484115.21135056</v>
      </c>
      <c r="BB33" s="20">
        <f t="shared" si="5"/>
        <v>-270878436.21758115</v>
      </c>
      <c r="BC33" s="20">
        <f t="shared" si="5"/>
        <v>-257921848.72663566</v>
      </c>
      <c r="BD33" s="20">
        <f t="shared" si="5"/>
        <v>-249409339.2333371</v>
      </c>
      <c r="BE33" s="20">
        <f t="shared" si="5"/>
        <v>-245095520.31839684</v>
      </c>
      <c r="BF33" s="20">
        <f t="shared" si="5"/>
        <v>-244699505.14501661</v>
      </c>
      <c r="BG33" s="20">
        <f t="shared" si="5"/>
        <v>-247909468.33710891</v>
      </c>
      <c r="BH33" s="20">
        <f t="shared" si="5"/>
        <v>-254386849.95267132</v>
      </c>
      <c r="BI33" s="20">
        <f t="shared" si="5"/>
        <v>-263770198.59251899</v>
      </c>
      <c r="BJ33" s="20">
        <f t="shared" si="5"/>
        <v>-275678679.63987708</v>
      </c>
      <c r="BK33" s="20">
        <f t="shared" si="5"/>
        <v>-289715294.31888145</v>
      </c>
      <c r="BL33" s="20">
        <f t="shared" si="5"/>
        <v>-305469865.04501802</v>
      </c>
      <c r="BM33" s="20">
        <f t="shared" si="5"/>
        <v>-322521843.84679341</v>
      </c>
      <c r="BN33" s="20">
        <f t="shared" si="5"/>
        <v>-340442995.6895662</v>
      </c>
      <c r="BO33" s="20">
        <f t="shared" si="5"/>
        <v>-358800000</v>
      </c>
      <c r="BQ33" s="1"/>
      <c r="BR33" s="20">
        <v>0</v>
      </c>
      <c r="BS33" s="20">
        <f>$C$16/($C$17-($C$18*BR33))</f>
        <v>0.34159220146222585</v>
      </c>
      <c r="BT33" s="20">
        <f t="shared" ref="BT33:CU42" si="6">$C$16/($C$17-($C$18*BS33))</f>
        <v>0.38671628039714145</v>
      </c>
      <c r="BU33" s="20">
        <f t="shared" si="6"/>
        <v>0.39358441341045358</v>
      </c>
      <c r="BV33" s="20">
        <f t="shared" si="6"/>
        <v>0.39465123071155617</v>
      </c>
      <c r="BW33" s="20">
        <f t="shared" si="6"/>
        <v>0.39481745705771343</v>
      </c>
      <c r="BX33" s="20">
        <f t="shared" si="6"/>
        <v>0.39484337025824812</v>
      </c>
      <c r="BY33" s="20">
        <f t="shared" si="6"/>
        <v>0.39484741020089803</v>
      </c>
      <c r="BZ33" s="20">
        <f t="shared" si="6"/>
        <v>0.39484804004704999</v>
      </c>
      <c r="CA33" s="20">
        <f t="shared" si="6"/>
        <v>0.3948481382432229</v>
      </c>
      <c r="CB33" s="20">
        <f t="shared" si="6"/>
        <v>0.39484815355250291</v>
      </c>
      <c r="CC33" s="20">
        <f t="shared" si="6"/>
        <v>0.39484815593929723</v>
      </c>
      <c r="CD33" s="20">
        <f t="shared" si="6"/>
        <v>0.39484815631141057</v>
      </c>
      <c r="CE33" s="20">
        <f t="shared" si="6"/>
        <v>0.39484815636942489</v>
      </c>
      <c r="CF33" s="20">
        <f t="shared" si="6"/>
        <v>0.39484815637846959</v>
      </c>
      <c r="CG33" s="20">
        <f t="shared" si="6"/>
        <v>0.39484815637987974</v>
      </c>
      <c r="CH33" s="20">
        <f t="shared" si="6"/>
        <v>0.39484815638009962</v>
      </c>
      <c r="CI33" s="20">
        <f t="shared" si="6"/>
        <v>0.39484815638013382</v>
      </c>
      <c r="CJ33" s="20">
        <f t="shared" si="6"/>
        <v>0.39484815638013915</v>
      </c>
      <c r="CK33" s="20">
        <f t="shared" si="6"/>
        <v>0.39484815638013998</v>
      </c>
      <c r="CL33" s="20">
        <f t="shared" si="6"/>
        <v>0.39484815638014015</v>
      </c>
      <c r="CM33" s="20">
        <f t="shared" si="6"/>
        <v>0.39484815638014015</v>
      </c>
      <c r="CN33" s="20">
        <f t="shared" si="6"/>
        <v>0.39484815638014015</v>
      </c>
      <c r="CO33" s="20">
        <f t="shared" si="6"/>
        <v>0.39484815638014015</v>
      </c>
      <c r="CP33" s="20">
        <f t="shared" si="6"/>
        <v>0.39484815638014015</v>
      </c>
      <c r="CQ33" s="20">
        <f t="shared" si="6"/>
        <v>0.39484815638014015</v>
      </c>
      <c r="CR33" s="20">
        <f t="shared" si="6"/>
        <v>0.39484815638014015</v>
      </c>
      <c r="CS33" s="20">
        <f t="shared" si="6"/>
        <v>0.39484815638014015</v>
      </c>
      <c r="CT33" s="20">
        <f t="shared" si="6"/>
        <v>0.39484815638014015</v>
      </c>
      <c r="CU33" s="20">
        <f t="shared" si="6"/>
        <v>0.39484815638014015</v>
      </c>
      <c r="CW33" s="1"/>
      <c r="CX33" s="19">
        <f>F33</f>
        <v>300</v>
      </c>
      <c r="CY33" s="19">
        <f>(CX33*$C$18-AM33)/($C$17-$C$18*BR33)</f>
        <v>191.12220520712071</v>
      </c>
      <c r="CZ33" s="19">
        <f t="shared" ref="CZ33:EA42" si="7">(CY33*$C$18-AN33)/($C$17-$C$18*BS33)</f>
        <v>167.08416066015812</v>
      </c>
      <c r="DA33" s="19">
        <f t="shared" si="7"/>
        <v>153.41427937569918</v>
      </c>
      <c r="DB33" s="19">
        <f t="shared" si="7"/>
        <v>141.43415155745674</v>
      </c>
      <c r="DC33" s="19">
        <f t="shared" si="7"/>
        <v>130.01348790013154</v>
      </c>
      <c r="DD33" s="19">
        <f t="shared" si="7"/>
        <v>119.07009301423169</v>
      </c>
      <c r="DE33" s="19">
        <f t="shared" si="7"/>
        <v>108.6646210887413</v>
      </c>
      <c r="DF33" s="19">
        <f t="shared" si="7"/>
        <v>98.869835062786493</v>
      </c>
      <c r="DG33" s="19">
        <f t="shared" si="7"/>
        <v>89.751039488704862</v>
      </c>
      <c r="DH33" s="19">
        <f t="shared" si="7"/>
        <v>81.36273200282848</v>
      </c>
      <c r="DI33" s="19">
        <f t="shared" si="7"/>
        <v>73.747840397647707</v>
      </c>
      <c r="DJ33" s="19">
        <f t="shared" si="7"/>
        <v>66.937577557603205</v>
      </c>
      <c r="DK33" s="19">
        <f t="shared" si="7"/>
        <v>60.9516064912521</v>
      </c>
      <c r="DL33" s="19">
        <f t="shared" si="7"/>
        <v>55.798437008901281</v>
      </c>
      <c r="DM33" s="19">
        <f t="shared" si="7"/>
        <v>51.476003720168137</v>
      </c>
      <c r="DN33" s="19">
        <f t="shared" si="7"/>
        <v>47.972377565947113</v>
      </c>
      <c r="DO33" s="19">
        <f t="shared" si="7"/>
        <v>45.266564819406398</v>
      </c>
      <c r="DP33" s="19">
        <f t="shared" si="7"/>
        <v>43.329351469462225</v>
      </c>
      <c r="DQ33" s="19">
        <f t="shared" si="7"/>
        <v>42.124156982632492</v>
      </c>
      <c r="DR33" s="19">
        <f t="shared" si="7"/>
        <v>41.607868924208674</v>
      </c>
      <c r="DS33" s="19">
        <f t="shared" si="7"/>
        <v>41.73163801233202</v>
      </c>
      <c r="DT33" s="19">
        <f t="shared" si="7"/>
        <v>42.441621121626333</v>
      </c>
      <c r="DU33" s="19">
        <f t="shared" si="7"/>
        <v>43.679666903206098</v>
      </c>
      <c r="DV33" s="19">
        <f t="shared" si="7"/>
        <v>45.38394456849089</v>
      </c>
      <c r="DW33" s="19">
        <f t="shared" si="7"/>
        <v>47.489520716122868</v>
      </c>
      <c r="DX33" s="19">
        <f t="shared" si="7"/>
        <v>49.928891790416444</v>
      </c>
      <c r="DY33" s="19">
        <f t="shared" si="7"/>
        <v>52.632480962788406</v>
      </c>
      <c r="DZ33" s="19">
        <f t="shared" si="7"/>
        <v>55.529108197572768</v>
      </c>
      <c r="EA33" s="19">
        <f t="shared" si="7"/>
        <v>58.546441380896454</v>
      </c>
    </row>
    <row r="34" spans="5:131" x14ac:dyDescent="0.25">
      <c r="E34" s="1"/>
      <c r="F34" s="15">
        <v>300</v>
      </c>
      <c r="G34" s="16">
        <f t="shared" si="4"/>
        <v>279.99075248592419</v>
      </c>
      <c r="H34" s="16">
        <f t="shared" si="4"/>
        <v>260.15976623117024</v>
      </c>
      <c r="I34" s="16">
        <f t="shared" si="4"/>
        <v>240.68189080487471</v>
      </c>
      <c r="J34" s="16">
        <f t="shared" si="4"/>
        <v>221.72527278962036</v>
      </c>
      <c r="K34" s="16">
        <f t="shared" si="4"/>
        <v>203.44829810209563</v>
      </c>
      <c r="L34" s="16">
        <f t="shared" si="4"/>
        <v>185.99686738580459</v>
      </c>
      <c r="M34" s="16">
        <f t="shared" si="4"/>
        <v>169.502084656504</v>
      </c>
      <c r="N34" s="16">
        <f t="shared" si="4"/>
        <v>154.07841610714542</v>
      </c>
      <c r="O34" s="16">
        <f t="shared" si="4"/>
        <v>139.82235048648161</v>
      </c>
      <c r="P34" s="16">
        <f t="shared" si="4"/>
        <v>126.81156664573982</v>
      </c>
      <c r="Q34" s="16">
        <f t="shared" si="4"/>
        <v>115.10458953398148</v>
      </c>
      <c r="R34" s="16">
        <f t="shared" si="4"/>
        <v>104.7408947319279</v>
      </c>
      <c r="S34" s="16">
        <f t="shared" si="4"/>
        <v>95.741404816158763</v>
      </c>
      <c r="T34" s="16">
        <f t="shared" si="4"/>
        <v>88.109309271680843</v>
      </c>
      <c r="U34" s="16">
        <f t="shared" si="4"/>
        <v>81.831133667011414</v>
      </c>
      <c r="V34" s="16">
        <f t="shared" si="4"/>
        <v>76.877983235760354</v>
      </c>
      <c r="W34" s="16">
        <f t="shared" si="4"/>
        <v>73.206890301362677</v>
      </c>
      <c r="X34" s="16">
        <f t="shared" si="4"/>
        <v>70.762203217829324</v>
      </c>
      <c r="Y34" s="16">
        <f t="shared" si="4"/>
        <v>69.476965524833773</v>
      </c>
      <c r="Z34" s="16">
        <f t="shared" si="4"/>
        <v>69.274246568514727</v>
      </c>
      <c r="AA34" s="16">
        <f t="shared" si="4"/>
        <v>70.068397679613923</v>
      </c>
      <c r="AB34" s="16">
        <f t="shared" si="4"/>
        <v>71.766220025099173</v>
      </c>
      <c r="AC34" s="16">
        <f t="shared" si="4"/>
        <v>74.268040586317383</v>
      </c>
      <c r="AD34" s="16">
        <f t="shared" si="4"/>
        <v>77.468700787505583</v>
      </c>
      <c r="AE34" s="16">
        <f t="shared" si="4"/>
        <v>81.258467845358453</v>
      </c>
      <c r="AF34" s="16">
        <f t="shared" si="4"/>
        <v>85.523881987496281</v>
      </c>
      <c r="AG34" s="16">
        <f t="shared" si="4"/>
        <v>90.148553619712899</v>
      </c>
      <c r="AH34" s="16">
        <f t="shared" ref="AH34:AH62" si="8">CT34*AI34+DZ34</f>
        <v>95.01392383558678</v>
      </c>
      <c r="AI34" s="15">
        <v>100</v>
      </c>
      <c r="AK34" s="1"/>
      <c r="AL34" s="20">
        <f>-($C$10*$C$9*F3)/$C$7</f>
        <v>-1076400000</v>
      </c>
      <c r="AM34" s="17">
        <f t="shared" ref="AM34:BO42" si="9">-($C$10*$C$9*G3)/$C$7</f>
        <v>-1003917198.4116837</v>
      </c>
      <c r="AN34" s="17">
        <f t="shared" si="9"/>
        <v>-932087196.68646419</v>
      </c>
      <c r="AO34" s="17">
        <f t="shared" si="9"/>
        <v>-861550087.78753686</v>
      </c>
      <c r="AP34" s="17">
        <f t="shared" si="9"/>
        <v>-792921010.59150279</v>
      </c>
      <c r="AQ34" s="17">
        <f t="shared" si="9"/>
        <v>-726778794.18320465</v>
      </c>
      <c r="AR34" s="17">
        <f t="shared" si="9"/>
        <v>-663655871.77779567</v>
      </c>
      <c r="AS34" s="17">
        <f t="shared" si="9"/>
        <v>-604029767.43101239</v>
      </c>
      <c r="AT34" s="17">
        <f t="shared" si="9"/>
        <v>-548316368.3024894</v>
      </c>
      <c r="AU34" s="17">
        <f t="shared" si="9"/>
        <v>-496865096.45168948</v>
      </c>
      <c r="AV34" s="17">
        <f t="shared" si="9"/>
        <v>-449955994.41316915</v>
      </c>
      <c r="AW34" s="17">
        <f t="shared" si="9"/>
        <v>-407798645.30460173</v>
      </c>
      <c r="AX34" s="17">
        <f t="shared" si="9"/>
        <v>-370532767.2750771</v>
      </c>
      <c r="AY34" s="17">
        <f t="shared" si="9"/>
        <v>-338230258.61560041</v>
      </c>
      <c r="AZ34" s="17">
        <f t="shared" si="9"/>
        <v>-310898426.98764789</v>
      </c>
      <c r="BA34" s="17">
        <f t="shared" si="9"/>
        <v>-288484115.21135056</v>
      </c>
      <c r="BB34" s="17">
        <f t="shared" si="9"/>
        <v>-270878436.21758115</v>
      </c>
      <c r="BC34" s="17">
        <f t="shared" si="9"/>
        <v>-257921848.72663566</v>
      </c>
      <c r="BD34" s="17">
        <f t="shared" si="9"/>
        <v>-249409339.2333371</v>
      </c>
      <c r="BE34" s="17">
        <f t="shared" si="9"/>
        <v>-245095520.31839684</v>
      </c>
      <c r="BF34" s="17">
        <f t="shared" si="9"/>
        <v>-244699505.14501661</v>
      </c>
      <c r="BG34" s="17">
        <f t="shared" si="9"/>
        <v>-247909468.33710891</v>
      </c>
      <c r="BH34" s="17">
        <f t="shared" si="9"/>
        <v>-254386849.95267132</v>
      </c>
      <c r="BI34" s="17">
        <f t="shared" si="9"/>
        <v>-263770198.59251899</v>
      </c>
      <c r="BJ34" s="17">
        <f t="shared" si="9"/>
        <v>-275678679.63987708</v>
      </c>
      <c r="BK34" s="17">
        <f t="shared" si="9"/>
        <v>-289715294.31888139</v>
      </c>
      <c r="BL34" s="17">
        <f t="shared" si="9"/>
        <v>-305469865.04501802</v>
      </c>
      <c r="BM34" s="17">
        <f t="shared" si="9"/>
        <v>-322521843.84679341</v>
      </c>
      <c r="BN34" s="17">
        <f t="shared" si="9"/>
        <v>-340442995.6895662</v>
      </c>
      <c r="BO34" s="20">
        <f t="shared" si="9"/>
        <v>-358800000</v>
      </c>
      <c r="BQ34" s="1"/>
      <c r="BR34" s="20">
        <v>0</v>
      </c>
      <c r="BS34" s="18">
        <f t="shared" ref="BS34:CH62" si="10">$C$16/($C$17-($C$18*BR34))</f>
        <v>0.34159220146222585</v>
      </c>
      <c r="BT34" s="18">
        <f t="shared" si="10"/>
        <v>0.38671628039714145</v>
      </c>
      <c r="BU34" s="18">
        <f t="shared" si="10"/>
        <v>0.39358441341045358</v>
      </c>
      <c r="BV34" s="18">
        <f t="shared" si="10"/>
        <v>0.39465123071155617</v>
      </c>
      <c r="BW34" s="18">
        <f t="shared" si="10"/>
        <v>0.39481745705771343</v>
      </c>
      <c r="BX34" s="18">
        <f t="shared" si="10"/>
        <v>0.39484337025824812</v>
      </c>
      <c r="BY34" s="18">
        <f t="shared" si="10"/>
        <v>0.39484741020089803</v>
      </c>
      <c r="BZ34" s="18">
        <f t="shared" si="10"/>
        <v>0.39484804004704999</v>
      </c>
      <c r="CA34" s="18">
        <f t="shared" si="10"/>
        <v>0.3948481382432229</v>
      </c>
      <c r="CB34" s="18">
        <f t="shared" si="10"/>
        <v>0.39484815355250291</v>
      </c>
      <c r="CC34" s="18">
        <f t="shared" si="10"/>
        <v>0.39484815593929723</v>
      </c>
      <c r="CD34" s="18">
        <f t="shared" si="10"/>
        <v>0.39484815631141057</v>
      </c>
      <c r="CE34" s="18">
        <f t="shared" si="10"/>
        <v>0.39484815636942489</v>
      </c>
      <c r="CF34" s="18">
        <f t="shared" si="10"/>
        <v>0.39484815637846959</v>
      </c>
      <c r="CG34" s="18">
        <f t="shared" si="10"/>
        <v>0.39484815637987974</v>
      </c>
      <c r="CH34" s="18">
        <f t="shared" si="10"/>
        <v>0.39484815638009962</v>
      </c>
      <c r="CI34" s="18">
        <f t="shared" si="6"/>
        <v>0.39484815638013382</v>
      </c>
      <c r="CJ34" s="18">
        <f t="shared" si="6"/>
        <v>0.39484815638013915</v>
      </c>
      <c r="CK34" s="18">
        <f t="shared" si="6"/>
        <v>0.39484815638013998</v>
      </c>
      <c r="CL34" s="18">
        <f t="shared" si="6"/>
        <v>0.39484815638014015</v>
      </c>
      <c r="CM34" s="18">
        <f t="shared" si="6"/>
        <v>0.39484815638014015</v>
      </c>
      <c r="CN34" s="18">
        <f t="shared" si="6"/>
        <v>0.39484815638014015</v>
      </c>
      <c r="CO34" s="18">
        <f t="shared" si="6"/>
        <v>0.39484815638014015</v>
      </c>
      <c r="CP34" s="18">
        <f t="shared" si="6"/>
        <v>0.39484815638014015</v>
      </c>
      <c r="CQ34" s="18">
        <f t="shared" si="6"/>
        <v>0.39484815638014015</v>
      </c>
      <c r="CR34" s="18">
        <f t="shared" si="6"/>
        <v>0.39484815638014015</v>
      </c>
      <c r="CS34" s="18">
        <f t="shared" si="6"/>
        <v>0.39484815638014015</v>
      </c>
      <c r="CT34" s="18">
        <f t="shared" si="6"/>
        <v>0.39484815638014015</v>
      </c>
      <c r="CU34" s="20">
        <f t="shared" si="6"/>
        <v>0.39484815638014015</v>
      </c>
      <c r="CW34" s="1"/>
      <c r="CX34" s="20">
        <f t="shared" ref="CX34:CX62" si="11">F34</f>
        <v>300</v>
      </c>
      <c r="CY34" s="17">
        <f t="shared" ref="CY34:CY62" si="12">(CX34*$C$18-AM34)/($C$17-$C$18*BR34)</f>
        <v>191.12220520712071</v>
      </c>
      <c r="CZ34" s="17">
        <f t="shared" si="7"/>
        <v>167.08416066015812</v>
      </c>
      <c r="DA34" s="17">
        <f t="shared" si="7"/>
        <v>153.41427937569918</v>
      </c>
      <c r="DB34" s="17">
        <f t="shared" si="7"/>
        <v>141.43415155745674</v>
      </c>
      <c r="DC34" s="17">
        <f t="shared" si="7"/>
        <v>130.01348790013151</v>
      </c>
      <c r="DD34" s="17">
        <f t="shared" si="7"/>
        <v>119.07009301423169</v>
      </c>
      <c r="DE34" s="17">
        <f t="shared" si="7"/>
        <v>108.6646210887413</v>
      </c>
      <c r="DF34" s="17">
        <f t="shared" si="7"/>
        <v>98.869835062786478</v>
      </c>
      <c r="DG34" s="17">
        <f t="shared" si="7"/>
        <v>89.751039488704862</v>
      </c>
      <c r="DH34" s="17">
        <f t="shared" si="7"/>
        <v>81.36273200282848</v>
      </c>
      <c r="DI34" s="17">
        <f t="shared" si="7"/>
        <v>73.747840397647707</v>
      </c>
      <c r="DJ34" s="17">
        <f t="shared" si="7"/>
        <v>66.937577557603205</v>
      </c>
      <c r="DK34" s="17">
        <f t="shared" si="7"/>
        <v>60.9516064912521</v>
      </c>
      <c r="DL34" s="17">
        <f t="shared" si="7"/>
        <v>55.798437008901281</v>
      </c>
      <c r="DM34" s="17">
        <f t="shared" si="7"/>
        <v>51.476003720168137</v>
      </c>
      <c r="DN34" s="17">
        <f t="shared" si="7"/>
        <v>47.972377565947113</v>
      </c>
      <c r="DO34" s="17">
        <f t="shared" si="7"/>
        <v>45.266564819406398</v>
      </c>
      <c r="DP34" s="17">
        <f t="shared" si="7"/>
        <v>43.329351469462225</v>
      </c>
      <c r="DQ34" s="17">
        <f t="shared" si="7"/>
        <v>42.124156982632492</v>
      </c>
      <c r="DR34" s="17">
        <f t="shared" si="7"/>
        <v>41.607868924208674</v>
      </c>
      <c r="DS34" s="17">
        <f t="shared" si="7"/>
        <v>41.73163801233202</v>
      </c>
      <c r="DT34" s="17">
        <f t="shared" si="7"/>
        <v>42.441621121626333</v>
      </c>
      <c r="DU34" s="17">
        <f t="shared" si="7"/>
        <v>43.679666903206098</v>
      </c>
      <c r="DV34" s="17">
        <f t="shared" si="7"/>
        <v>45.38394456849089</v>
      </c>
      <c r="DW34" s="17">
        <f t="shared" si="7"/>
        <v>47.489520716122868</v>
      </c>
      <c r="DX34" s="17">
        <f t="shared" si="7"/>
        <v>49.928891790416444</v>
      </c>
      <c r="DY34" s="17">
        <f t="shared" si="7"/>
        <v>52.632480962788406</v>
      </c>
      <c r="DZ34" s="17">
        <f t="shared" si="7"/>
        <v>55.529108197572768</v>
      </c>
      <c r="EA34" s="20">
        <f t="shared" si="7"/>
        <v>58.546441380896454</v>
      </c>
    </row>
    <row r="35" spans="5:131" x14ac:dyDescent="0.25">
      <c r="E35" s="1"/>
      <c r="F35" s="15">
        <v>300</v>
      </c>
      <c r="G35" s="16">
        <f t="shared" si="4"/>
        <v>279.99075248592419</v>
      </c>
      <c r="H35" s="16">
        <f t="shared" si="4"/>
        <v>260.15976623117024</v>
      </c>
      <c r="I35" s="16">
        <f t="shared" si="4"/>
        <v>240.68189080487471</v>
      </c>
      <c r="J35" s="16">
        <f t="shared" si="4"/>
        <v>221.72527278962036</v>
      </c>
      <c r="K35" s="16">
        <f t="shared" si="4"/>
        <v>203.44829810209563</v>
      </c>
      <c r="L35" s="16">
        <f t="shared" si="4"/>
        <v>185.99686738580459</v>
      </c>
      <c r="M35" s="16">
        <f t="shared" si="4"/>
        <v>169.50208465650397</v>
      </c>
      <c r="N35" s="16">
        <f t="shared" si="4"/>
        <v>154.07841610714542</v>
      </c>
      <c r="O35" s="16">
        <f t="shared" si="4"/>
        <v>139.82235048648158</v>
      </c>
      <c r="P35" s="16">
        <f t="shared" si="4"/>
        <v>126.81156664573982</v>
      </c>
      <c r="Q35" s="16">
        <f t="shared" si="4"/>
        <v>115.10458953398147</v>
      </c>
      <c r="R35" s="16">
        <f t="shared" si="4"/>
        <v>104.74089473192788</v>
      </c>
      <c r="S35" s="16">
        <f t="shared" si="4"/>
        <v>95.741404816158763</v>
      </c>
      <c r="T35" s="16">
        <f t="shared" si="4"/>
        <v>88.109309271680843</v>
      </c>
      <c r="U35" s="16">
        <f t="shared" si="4"/>
        <v>81.831133667011414</v>
      </c>
      <c r="V35" s="16">
        <f t="shared" si="4"/>
        <v>76.877983235760354</v>
      </c>
      <c r="W35" s="16">
        <f t="shared" si="4"/>
        <v>73.206890301362677</v>
      </c>
      <c r="X35" s="16">
        <f t="shared" si="4"/>
        <v>70.762203217829324</v>
      </c>
      <c r="Y35" s="16">
        <f t="shared" si="4"/>
        <v>69.476965524833744</v>
      </c>
      <c r="Z35" s="16">
        <f t="shared" si="4"/>
        <v>69.274246568514698</v>
      </c>
      <c r="AA35" s="16">
        <f t="shared" si="4"/>
        <v>70.068397679613909</v>
      </c>
      <c r="AB35" s="16">
        <f t="shared" si="4"/>
        <v>71.766220025099159</v>
      </c>
      <c r="AC35" s="16">
        <f t="shared" si="4"/>
        <v>74.268040586317383</v>
      </c>
      <c r="AD35" s="16">
        <f t="shared" si="4"/>
        <v>77.468700787505583</v>
      </c>
      <c r="AE35" s="16">
        <f t="shared" si="4"/>
        <v>81.258467845358453</v>
      </c>
      <c r="AF35" s="16">
        <f t="shared" si="4"/>
        <v>85.523881987496281</v>
      </c>
      <c r="AG35" s="16">
        <f t="shared" si="4"/>
        <v>90.148553619712899</v>
      </c>
      <c r="AH35" s="16">
        <f t="shared" si="8"/>
        <v>95.01392383558678</v>
      </c>
      <c r="AI35" s="15">
        <v>100</v>
      </c>
      <c r="AK35" s="1"/>
      <c r="AL35" s="20">
        <f t="shared" ref="AL35:AL62" si="13">-($C$10*$C$9*F4)/$C$7</f>
        <v>-1076400000</v>
      </c>
      <c r="AM35" s="17">
        <f t="shared" si="9"/>
        <v>-1003917198.4116837</v>
      </c>
      <c r="AN35" s="17">
        <f t="shared" si="9"/>
        <v>-932087196.68646419</v>
      </c>
      <c r="AO35" s="17">
        <f t="shared" si="9"/>
        <v>-861550087.78753686</v>
      </c>
      <c r="AP35" s="17">
        <f t="shared" si="9"/>
        <v>-792921010.59150279</v>
      </c>
      <c r="AQ35" s="17">
        <f t="shared" si="9"/>
        <v>-726778794.18320465</v>
      </c>
      <c r="AR35" s="17">
        <f t="shared" si="9"/>
        <v>-663655871.77779567</v>
      </c>
      <c r="AS35" s="17">
        <f t="shared" si="9"/>
        <v>-604029767.43101227</v>
      </c>
      <c r="AT35" s="17">
        <f t="shared" si="9"/>
        <v>-548316368.3024894</v>
      </c>
      <c r="AU35" s="17">
        <f t="shared" si="9"/>
        <v>-496865096.45168942</v>
      </c>
      <c r="AV35" s="17">
        <f t="shared" si="9"/>
        <v>-449955994.41316915</v>
      </c>
      <c r="AW35" s="17">
        <f t="shared" si="9"/>
        <v>-407798645.30460167</v>
      </c>
      <c r="AX35" s="17">
        <f t="shared" si="9"/>
        <v>-370532767.2750771</v>
      </c>
      <c r="AY35" s="17">
        <f t="shared" si="9"/>
        <v>-338230258.61560041</v>
      </c>
      <c r="AZ35" s="17">
        <f t="shared" si="9"/>
        <v>-310898426.98764789</v>
      </c>
      <c r="BA35" s="17">
        <f t="shared" si="9"/>
        <v>-288484115.2113505</v>
      </c>
      <c r="BB35" s="17">
        <f t="shared" si="9"/>
        <v>-270878436.21758109</v>
      </c>
      <c r="BC35" s="17">
        <f t="shared" si="9"/>
        <v>-257921848.72663566</v>
      </c>
      <c r="BD35" s="17">
        <f t="shared" si="9"/>
        <v>-249409339.2333371</v>
      </c>
      <c r="BE35" s="17">
        <f t="shared" si="9"/>
        <v>-245095520.31839672</v>
      </c>
      <c r="BF35" s="17">
        <f t="shared" si="9"/>
        <v>-244699505.14501658</v>
      </c>
      <c r="BG35" s="17">
        <f t="shared" si="9"/>
        <v>-247909468.33710888</v>
      </c>
      <c r="BH35" s="17">
        <f t="shared" si="9"/>
        <v>-254386849.95267132</v>
      </c>
      <c r="BI35" s="17">
        <f t="shared" si="9"/>
        <v>-263770198.59251899</v>
      </c>
      <c r="BJ35" s="17">
        <f t="shared" si="9"/>
        <v>-275678679.63987708</v>
      </c>
      <c r="BK35" s="17">
        <f t="shared" si="9"/>
        <v>-289715294.31888139</v>
      </c>
      <c r="BL35" s="17">
        <f t="shared" si="9"/>
        <v>-305469865.04501802</v>
      </c>
      <c r="BM35" s="17">
        <f t="shared" si="9"/>
        <v>-322521843.84679341</v>
      </c>
      <c r="BN35" s="17">
        <f t="shared" si="9"/>
        <v>-340442995.6895662</v>
      </c>
      <c r="BO35" s="20">
        <f t="shared" si="9"/>
        <v>-358800000</v>
      </c>
      <c r="BQ35" s="1"/>
      <c r="BR35" s="20">
        <v>0</v>
      </c>
      <c r="BS35" s="18">
        <f t="shared" si="10"/>
        <v>0.34159220146222585</v>
      </c>
      <c r="BT35" s="18">
        <f t="shared" si="6"/>
        <v>0.38671628039714145</v>
      </c>
      <c r="BU35" s="18">
        <f t="shared" si="6"/>
        <v>0.39358441341045358</v>
      </c>
      <c r="BV35" s="18">
        <f t="shared" si="6"/>
        <v>0.39465123071155617</v>
      </c>
      <c r="BW35" s="18">
        <f t="shared" si="6"/>
        <v>0.39481745705771343</v>
      </c>
      <c r="BX35" s="18">
        <f t="shared" si="6"/>
        <v>0.39484337025824812</v>
      </c>
      <c r="BY35" s="18">
        <f t="shared" si="6"/>
        <v>0.39484741020089803</v>
      </c>
      <c r="BZ35" s="18">
        <f t="shared" si="6"/>
        <v>0.39484804004704999</v>
      </c>
      <c r="CA35" s="18">
        <f t="shared" si="6"/>
        <v>0.3948481382432229</v>
      </c>
      <c r="CB35" s="18">
        <f t="shared" si="6"/>
        <v>0.39484815355250291</v>
      </c>
      <c r="CC35" s="18">
        <f t="shared" si="6"/>
        <v>0.39484815593929723</v>
      </c>
      <c r="CD35" s="18">
        <f t="shared" si="6"/>
        <v>0.39484815631141057</v>
      </c>
      <c r="CE35" s="18">
        <f t="shared" si="6"/>
        <v>0.39484815636942489</v>
      </c>
      <c r="CF35" s="18">
        <f t="shared" si="6"/>
        <v>0.39484815637846959</v>
      </c>
      <c r="CG35" s="18">
        <f t="shared" si="6"/>
        <v>0.39484815637987974</v>
      </c>
      <c r="CH35" s="18">
        <f t="shared" si="6"/>
        <v>0.39484815638009962</v>
      </c>
      <c r="CI35" s="18">
        <f t="shared" si="6"/>
        <v>0.39484815638013382</v>
      </c>
      <c r="CJ35" s="18">
        <f t="shared" si="6"/>
        <v>0.39484815638013915</v>
      </c>
      <c r="CK35" s="18">
        <f t="shared" si="6"/>
        <v>0.39484815638013998</v>
      </c>
      <c r="CL35" s="18">
        <f t="shared" si="6"/>
        <v>0.39484815638014015</v>
      </c>
      <c r="CM35" s="18">
        <f t="shared" si="6"/>
        <v>0.39484815638014015</v>
      </c>
      <c r="CN35" s="18">
        <f t="shared" si="6"/>
        <v>0.39484815638014015</v>
      </c>
      <c r="CO35" s="18">
        <f t="shared" si="6"/>
        <v>0.39484815638014015</v>
      </c>
      <c r="CP35" s="18">
        <f t="shared" si="6"/>
        <v>0.39484815638014015</v>
      </c>
      <c r="CQ35" s="18">
        <f t="shared" si="6"/>
        <v>0.39484815638014015</v>
      </c>
      <c r="CR35" s="18">
        <f t="shared" si="6"/>
        <v>0.39484815638014015</v>
      </c>
      <c r="CS35" s="18">
        <f t="shared" si="6"/>
        <v>0.39484815638014015</v>
      </c>
      <c r="CT35" s="18">
        <f t="shared" si="6"/>
        <v>0.39484815638014015</v>
      </c>
      <c r="CU35" s="20">
        <f t="shared" si="6"/>
        <v>0.39484815638014015</v>
      </c>
      <c r="CW35" s="1"/>
      <c r="CX35" s="20">
        <f t="shared" si="11"/>
        <v>300</v>
      </c>
      <c r="CY35" s="17">
        <f t="shared" si="12"/>
        <v>191.12220520712071</v>
      </c>
      <c r="CZ35" s="17">
        <f t="shared" si="7"/>
        <v>167.08416066015812</v>
      </c>
      <c r="DA35" s="17">
        <f t="shared" si="7"/>
        <v>153.41427937569918</v>
      </c>
      <c r="DB35" s="17">
        <f t="shared" si="7"/>
        <v>141.43415155745674</v>
      </c>
      <c r="DC35" s="17">
        <f t="shared" si="7"/>
        <v>130.01348790013151</v>
      </c>
      <c r="DD35" s="17">
        <f t="shared" si="7"/>
        <v>119.07009301423169</v>
      </c>
      <c r="DE35" s="17">
        <f t="shared" si="7"/>
        <v>108.66462108874127</v>
      </c>
      <c r="DF35" s="17">
        <f t="shared" si="7"/>
        <v>98.869835062786478</v>
      </c>
      <c r="DG35" s="17">
        <f t="shared" si="7"/>
        <v>89.751039488704848</v>
      </c>
      <c r="DH35" s="17">
        <f t="shared" si="7"/>
        <v>81.36273200282848</v>
      </c>
      <c r="DI35" s="17">
        <f t="shared" si="7"/>
        <v>73.747840397647693</v>
      </c>
      <c r="DJ35" s="17">
        <f t="shared" si="7"/>
        <v>66.937577557603191</v>
      </c>
      <c r="DK35" s="17">
        <f t="shared" si="7"/>
        <v>60.9516064912521</v>
      </c>
      <c r="DL35" s="17">
        <f t="shared" si="7"/>
        <v>55.798437008901281</v>
      </c>
      <c r="DM35" s="17">
        <f t="shared" si="7"/>
        <v>51.47600372016813</v>
      </c>
      <c r="DN35" s="17">
        <f t="shared" si="7"/>
        <v>47.972377565947106</v>
      </c>
      <c r="DO35" s="17">
        <f t="shared" si="7"/>
        <v>45.266564819406398</v>
      </c>
      <c r="DP35" s="17">
        <f t="shared" si="7"/>
        <v>43.329351469462225</v>
      </c>
      <c r="DQ35" s="17">
        <f t="shared" si="7"/>
        <v>42.124156982632478</v>
      </c>
      <c r="DR35" s="17">
        <f t="shared" si="7"/>
        <v>41.60786892420866</v>
      </c>
      <c r="DS35" s="17">
        <f t="shared" si="7"/>
        <v>41.731638012332006</v>
      </c>
      <c r="DT35" s="17">
        <f t="shared" si="7"/>
        <v>42.441621121626319</v>
      </c>
      <c r="DU35" s="17">
        <f t="shared" si="7"/>
        <v>43.67966690320609</v>
      </c>
      <c r="DV35" s="17">
        <f t="shared" si="7"/>
        <v>45.38394456849089</v>
      </c>
      <c r="DW35" s="17">
        <f t="shared" si="7"/>
        <v>47.489520716122868</v>
      </c>
      <c r="DX35" s="17">
        <f t="shared" si="7"/>
        <v>49.928891790416444</v>
      </c>
      <c r="DY35" s="17">
        <f t="shared" si="7"/>
        <v>52.632480962788406</v>
      </c>
      <c r="DZ35" s="17">
        <f t="shared" si="7"/>
        <v>55.529108197572768</v>
      </c>
      <c r="EA35" s="20">
        <f t="shared" si="7"/>
        <v>58.546441380896454</v>
      </c>
    </row>
    <row r="36" spans="5:131" x14ac:dyDescent="0.25">
      <c r="E36" s="1"/>
      <c r="F36" s="15">
        <v>300</v>
      </c>
      <c r="G36" s="16">
        <f t="shared" si="4"/>
        <v>279.99075248592419</v>
      </c>
      <c r="H36" s="16">
        <f t="shared" si="4"/>
        <v>260.15976623117024</v>
      </c>
      <c r="I36" s="16">
        <f t="shared" si="4"/>
        <v>240.68189080487471</v>
      </c>
      <c r="J36" s="16">
        <f t="shared" si="4"/>
        <v>221.72527278962036</v>
      </c>
      <c r="K36" s="16">
        <f t="shared" si="4"/>
        <v>203.44829810209563</v>
      </c>
      <c r="L36" s="16">
        <f t="shared" si="4"/>
        <v>185.99686738580456</v>
      </c>
      <c r="M36" s="16">
        <f t="shared" si="4"/>
        <v>169.50208465650394</v>
      </c>
      <c r="N36" s="16">
        <f t="shared" si="4"/>
        <v>154.07841610714542</v>
      </c>
      <c r="O36" s="16">
        <f t="shared" si="4"/>
        <v>139.82235048648158</v>
      </c>
      <c r="P36" s="16">
        <f t="shared" si="4"/>
        <v>126.81156664573979</v>
      </c>
      <c r="Q36" s="16">
        <f t="shared" si="4"/>
        <v>115.10458953398144</v>
      </c>
      <c r="R36" s="16">
        <f t="shared" si="4"/>
        <v>104.74089473192785</v>
      </c>
      <c r="S36" s="16">
        <f t="shared" si="4"/>
        <v>95.741404816158735</v>
      </c>
      <c r="T36" s="16">
        <f t="shared" si="4"/>
        <v>88.109309271680829</v>
      </c>
      <c r="U36" s="16">
        <f t="shared" si="4"/>
        <v>81.831133667011386</v>
      </c>
      <c r="V36" s="16">
        <f t="shared" si="4"/>
        <v>76.87798323576034</v>
      </c>
      <c r="W36" s="16">
        <f t="shared" si="4"/>
        <v>73.206890301362662</v>
      </c>
      <c r="X36" s="16">
        <f t="shared" si="4"/>
        <v>70.762203217829295</v>
      </c>
      <c r="Y36" s="16">
        <f t="shared" si="4"/>
        <v>69.47696552483373</v>
      </c>
      <c r="Z36" s="16">
        <f t="shared" si="4"/>
        <v>69.274246568514698</v>
      </c>
      <c r="AA36" s="16">
        <f t="shared" si="4"/>
        <v>70.068397679613909</v>
      </c>
      <c r="AB36" s="16">
        <f t="shared" si="4"/>
        <v>71.766220025099159</v>
      </c>
      <c r="AC36" s="16">
        <f t="shared" si="4"/>
        <v>74.268040586317383</v>
      </c>
      <c r="AD36" s="16">
        <f t="shared" si="4"/>
        <v>77.468700787505583</v>
      </c>
      <c r="AE36" s="16">
        <f t="shared" si="4"/>
        <v>81.258467845358453</v>
      </c>
      <c r="AF36" s="16">
        <f t="shared" si="4"/>
        <v>85.523881987496281</v>
      </c>
      <c r="AG36" s="16">
        <f t="shared" si="4"/>
        <v>90.148553619712899</v>
      </c>
      <c r="AH36" s="16">
        <f t="shared" si="8"/>
        <v>95.01392383558678</v>
      </c>
      <c r="AI36" s="15">
        <v>100</v>
      </c>
      <c r="AK36" s="1"/>
      <c r="AL36" s="20">
        <f t="shared" si="13"/>
        <v>-1076400000</v>
      </c>
      <c r="AM36" s="17">
        <f t="shared" si="9"/>
        <v>-1003917198.4116837</v>
      </c>
      <c r="AN36" s="17">
        <f t="shared" si="9"/>
        <v>-932087196.68646419</v>
      </c>
      <c r="AO36" s="17">
        <f t="shared" si="9"/>
        <v>-861550087.78753686</v>
      </c>
      <c r="AP36" s="17">
        <f t="shared" si="9"/>
        <v>-792921010.59150279</v>
      </c>
      <c r="AQ36" s="17">
        <f t="shared" si="9"/>
        <v>-726778794.18320465</v>
      </c>
      <c r="AR36" s="17">
        <f t="shared" si="9"/>
        <v>-663655871.77779555</v>
      </c>
      <c r="AS36" s="17">
        <f t="shared" si="9"/>
        <v>-604029767.43101215</v>
      </c>
      <c r="AT36" s="17">
        <f t="shared" si="9"/>
        <v>-548316368.30248928</v>
      </c>
      <c r="AU36" s="17">
        <f t="shared" si="9"/>
        <v>-496865096.4516893</v>
      </c>
      <c r="AV36" s="17">
        <f t="shared" si="9"/>
        <v>-449955994.41316903</v>
      </c>
      <c r="AW36" s="17">
        <f t="shared" si="9"/>
        <v>-407798645.30460155</v>
      </c>
      <c r="AX36" s="17">
        <f t="shared" si="9"/>
        <v>-370532767.2750771</v>
      </c>
      <c r="AY36" s="17">
        <f t="shared" si="9"/>
        <v>-338230258.61560041</v>
      </c>
      <c r="AZ36" s="17">
        <f t="shared" si="9"/>
        <v>-310898426.98764789</v>
      </c>
      <c r="BA36" s="17">
        <f t="shared" si="9"/>
        <v>-288484115.21135044</v>
      </c>
      <c r="BB36" s="17">
        <f t="shared" si="9"/>
        <v>-270878436.21758109</v>
      </c>
      <c r="BC36" s="17">
        <f t="shared" si="9"/>
        <v>-257921848.72663561</v>
      </c>
      <c r="BD36" s="17">
        <f t="shared" si="9"/>
        <v>-249409339.23333704</v>
      </c>
      <c r="BE36" s="17">
        <f t="shared" si="9"/>
        <v>-245095520.31839669</v>
      </c>
      <c r="BF36" s="17">
        <f t="shared" si="9"/>
        <v>-244699505.14501658</v>
      </c>
      <c r="BG36" s="17">
        <f t="shared" si="9"/>
        <v>-247909468.33710882</v>
      </c>
      <c r="BH36" s="17">
        <f t="shared" si="9"/>
        <v>-254386849.95267132</v>
      </c>
      <c r="BI36" s="17">
        <f t="shared" si="9"/>
        <v>-263770198.59251893</v>
      </c>
      <c r="BJ36" s="17">
        <f t="shared" si="9"/>
        <v>-275678679.63987708</v>
      </c>
      <c r="BK36" s="17">
        <f t="shared" si="9"/>
        <v>-289715294.31888139</v>
      </c>
      <c r="BL36" s="17">
        <f t="shared" si="9"/>
        <v>-305469865.04501802</v>
      </c>
      <c r="BM36" s="17">
        <f t="shared" si="9"/>
        <v>-322521843.84679341</v>
      </c>
      <c r="BN36" s="17">
        <f t="shared" si="9"/>
        <v>-340442995.6895662</v>
      </c>
      <c r="BO36" s="20">
        <f t="shared" si="9"/>
        <v>-358800000</v>
      </c>
      <c r="BQ36" s="1"/>
      <c r="BR36" s="20">
        <v>0</v>
      </c>
      <c r="BS36" s="18">
        <f t="shared" si="10"/>
        <v>0.34159220146222585</v>
      </c>
      <c r="BT36" s="18">
        <f t="shared" si="6"/>
        <v>0.38671628039714145</v>
      </c>
      <c r="BU36" s="18">
        <f t="shared" si="6"/>
        <v>0.39358441341045358</v>
      </c>
      <c r="BV36" s="18">
        <f t="shared" si="6"/>
        <v>0.39465123071155617</v>
      </c>
      <c r="BW36" s="18">
        <f t="shared" si="6"/>
        <v>0.39481745705771343</v>
      </c>
      <c r="BX36" s="18">
        <f t="shared" si="6"/>
        <v>0.39484337025824812</v>
      </c>
      <c r="BY36" s="18">
        <f t="shared" si="6"/>
        <v>0.39484741020089803</v>
      </c>
      <c r="BZ36" s="18">
        <f t="shared" si="6"/>
        <v>0.39484804004704999</v>
      </c>
      <c r="CA36" s="18">
        <f t="shared" si="6"/>
        <v>0.3948481382432229</v>
      </c>
      <c r="CB36" s="18">
        <f t="shared" si="6"/>
        <v>0.39484815355250291</v>
      </c>
      <c r="CC36" s="18">
        <f t="shared" si="6"/>
        <v>0.39484815593929723</v>
      </c>
      <c r="CD36" s="18">
        <f t="shared" si="6"/>
        <v>0.39484815631141057</v>
      </c>
      <c r="CE36" s="18">
        <f t="shared" si="6"/>
        <v>0.39484815636942489</v>
      </c>
      <c r="CF36" s="18">
        <f t="shared" si="6"/>
        <v>0.39484815637846959</v>
      </c>
      <c r="CG36" s="18">
        <f t="shared" si="6"/>
        <v>0.39484815637987974</v>
      </c>
      <c r="CH36" s="18">
        <f t="shared" si="6"/>
        <v>0.39484815638009962</v>
      </c>
      <c r="CI36" s="18">
        <f t="shared" si="6"/>
        <v>0.39484815638013382</v>
      </c>
      <c r="CJ36" s="18">
        <f t="shared" si="6"/>
        <v>0.39484815638013915</v>
      </c>
      <c r="CK36" s="18">
        <f t="shared" si="6"/>
        <v>0.39484815638013998</v>
      </c>
      <c r="CL36" s="18">
        <f t="shared" si="6"/>
        <v>0.39484815638014015</v>
      </c>
      <c r="CM36" s="18">
        <f t="shared" si="6"/>
        <v>0.39484815638014015</v>
      </c>
      <c r="CN36" s="18">
        <f t="shared" si="6"/>
        <v>0.39484815638014015</v>
      </c>
      <c r="CO36" s="18">
        <f t="shared" si="6"/>
        <v>0.39484815638014015</v>
      </c>
      <c r="CP36" s="18">
        <f t="shared" si="6"/>
        <v>0.39484815638014015</v>
      </c>
      <c r="CQ36" s="18">
        <f t="shared" si="6"/>
        <v>0.39484815638014015</v>
      </c>
      <c r="CR36" s="18">
        <f t="shared" si="6"/>
        <v>0.39484815638014015</v>
      </c>
      <c r="CS36" s="18">
        <f t="shared" si="6"/>
        <v>0.39484815638014015</v>
      </c>
      <c r="CT36" s="18">
        <f t="shared" si="6"/>
        <v>0.39484815638014015</v>
      </c>
      <c r="CU36" s="20">
        <f t="shared" si="6"/>
        <v>0.39484815638014015</v>
      </c>
      <c r="CW36" s="1"/>
      <c r="CX36" s="20">
        <f t="shared" si="11"/>
        <v>300</v>
      </c>
      <c r="CY36" s="17">
        <f t="shared" si="12"/>
        <v>191.12220520712071</v>
      </c>
      <c r="CZ36" s="17">
        <f t="shared" si="7"/>
        <v>167.08416066015812</v>
      </c>
      <c r="DA36" s="17">
        <f t="shared" si="7"/>
        <v>153.41427937569918</v>
      </c>
      <c r="DB36" s="17">
        <f t="shared" si="7"/>
        <v>141.43415155745674</v>
      </c>
      <c r="DC36" s="17">
        <f t="shared" si="7"/>
        <v>130.01348790013151</v>
      </c>
      <c r="DD36" s="17">
        <f t="shared" si="7"/>
        <v>119.07009301423166</v>
      </c>
      <c r="DE36" s="17">
        <f t="shared" si="7"/>
        <v>108.66462108874124</v>
      </c>
      <c r="DF36" s="17">
        <f t="shared" si="7"/>
        <v>98.869835062786464</v>
      </c>
      <c r="DG36" s="17">
        <f t="shared" si="7"/>
        <v>89.751039488704834</v>
      </c>
      <c r="DH36" s="17">
        <f t="shared" si="7"/>
        <v>81.362732002828466</v>
      </c>
      <c r="DI36" s="17">
        <f t="shared" si="7"/>
        <v>73.747840397647678</v>
      </c>
      <c r="DJ36" s="17">
        <f t="shared" si="7"/>
        <v>66.937577557603177</v>
      </c>
      <c r="DK36" s="17">
        <f t="shared" si="7"/>
        <v>60.951606491252086</v>
      </c>
      <c r="DL36" s="17">
        <f t="shared" si="7"/>
        <v>55.798437008901267</v>
      </c>
      <c r="DM36" s="17">
        <f t="shared" si="7"/>
        <v>51.476003720168116</v>
      </c>
      <c r="DN36" s="17">
        <f t="shared" si="7"/>
        <v>47.972377565947092</v>
      </c>
      <c r="DO36" s="17">
        <f t="shared" si="7"/>
        <v>45.266564819406391</v>
      </c>
      <c r="DP36" s="17">
        <f t="shared" si="7"/>
        <v>43.32935146946221</v>
      </c>
      <c r="DQ36" s="17">
        <f t="shared" si="7"/>
        <v>42.124156982632464</v>
      </c>
      <c r="DR36" s="17">
        <f t="shared" si="7"/>
        <v>41.60786892420866</v>
      </c>
      <c r="DS36" s="17">
        <f t="shared" si="7"/>
        <v>41.731638012332006</v>
      </c>
      <c r="DT36" s="17">
        <f t="shared" si="7"/>
        <v>42.441621121626319</v>
      </c>
      <c r="DU36" s="17">
        <f t="shared" si="7"/>
        <v>43.67966690320609</v>
      </c>
      <c r="DV36" s="17">
        <f t="shared" si="7"/>
        <v>45.38394456849089</v>
      </c>
      <c r="DW36" s="17">
        <f t="shared" si="7"/>
        <v>47.489520716122868</v>
      </c>
      <c r="DX36" s="17">
        <f t="shared" si="7"/>
        <v>49.928891790416444</v>
      </c>
      <c r="DY36" s="17">
        <f t="shared" si="7"/>
        <v>52.632480962788406</v>
      </c>
      <c r="DZ36" s="17">
        <f t="shared" si="7"/>
        <v>55.529108197572768</v>
      </c>
      <c r="EA36" s="20">
        <f t="shared" si="7"/>
        <v>58.546441380896454</v>
      </c>
    </row>
    <row r="37" spans="5:131" x14ac:dyDescent="0.25">
      <c r="E37" s="1"/>
      <c r="F37" s="15">
        <v>300</v>
      </c>
      <c r="G37" s="16">
        <f t="shared" si="4"/>
        <v>279.99075248592419</v>
      </c>
      <c r="H37" s="16">
        <f t="shared" si="4"/>
        <v>260.15976623117024</v>
      </c>
      <c r="I37" s="16">
        <f t="shared" si="4"/>
        <v>240.68189080487468</v>
      </c>
      <c r="J37" s="16">
        <f t="shared" si="4"/>
        <v>221.72527278962031</v>
      </c>
      <c r="K37" s="16">
        <f t="shared" si="4"/>
        <v>203.44829810209561</v>
      </c>
      <c r="L37" s="16">
        <f t="shared" si="4"/>
        <v>185.99686738580453</v>
      </c>
      <c r="M37" s="16">
        <f t="shared" si="4"/>
        <v>169.50208465650391</v>
      </c>
      <c r="N37" s="16">
        <f t="shared" si="4"/>
        <v>154.07841610714536</v>
      </c>
      <c r="O37" s="16">
        <f t="shared" si="4"/>
        <v>139.82235048648155</v>
      </c>
      <c r="P37" s="16">
        <f t="shared" si="4"/>
        <v>126.81156664573976</v>
      </c>
      <c r="Q37" s="16">
        <f t="shared" si="4"/>
        <v>115.10458953398143</v>
      </c>
      <c r="R37" s="16">
        <f t="shared" si="4"/>
        <v>104.74089473192785</v>
      </c>
      <c r="S37" s="16">
        <f t="shared" si="4"/>
        <v>95.741404816158735</v>
      </c>
      <c r="T37" s="16">
        <f t="shared" si="4"/>
        <v>88.109309271680814</v>
      </c>
      <c r="U37" s="16">
        <f t="shared" si="4"/>
        <v>81.831133667011372</v>
      </c>
      <c r="V37" s="16">
        <f t="shared" si="4"/>
        <v>76.877983235760325</v>
      </c>
      <c r="W37" s="16">
        <f t="shared" si="4"/>
        <v>73.206890301362648</v>
      </c>
      <c r="X37" s="16">
        <f t="shared" si="4"/>
        <v>70.762203217829295</v>
      </c>
      <c r="Y37" s="16">
        <f t="shared" si="4"/>
        <v>69.47696552483373</v>
      </c>
      <c r="Z37" s="16">
        <f t="shared" si="4"/>
        <v>69.274246568514698</v>
      </c>
      <c r="AA37" s="16">
        <f t="shared" si="4"/>
        <v>70.068397679613909</v>
      </c>
      <c r="AB37" s="16">
        <f t="shared" si="4"/>
        <v>71.766220025099159</v>
      </c>
      <c r="AC37" s="16">
        <f t="shared" si="4"/>
        <v>74.268040586317369</v>
      </c>
      <c r="AD37" s="16">
        <f t="shared" si="4"/>
        <v>77.468700787505583</v>
      </c>
      <c r="AE37" s="16">
        <f t="shared" si="4"/>
        <v>81.258467845358453</v>
      </c>
      <c r="AF37" s="16">
        <f t="shared" si="4"/>
        <v>85.523881987496281</v>
      </c>
      <c r="AG37" s="16">
        <f t="shared" si="4"/>
        <v>90.148553619712899</v>
      </c>
      <c r="AH37" s="16">
        <f t="shared" si="8"/>
        <v>95.01392383558678</v>
      </c>
      <c r="AI37" s="15">
        <v>100</v>
      </c>
      <c r="AK37" s="1"/>
      <c r="AL37" s="20">
        <f t="shared" si="13"/>
        <v>-1076400000</v>
      </c>
      <c r="AM37" s="17">
        <f t="shared" si="9"/>
        <v>-1003917198.4116837</v>
      </c>
      <c r="AN37" s="17">
        <f t="shared" si="9"/>
        <v>-932087196.68646419</v>
      </c>
      <c r="AO37" s="17">
        <f t="shared" si="9"/>
        <v>-861550087.78753686</v>
      </c>
      <c r="AP37" s="17">
        <f t="shared" si="9"/>
        <v>-792921010.59150267</v>
      </c>
      <c r="AQ37" s="17">
        <f t="shared" si="9"/>
        <v>-726778794.18320465</v>
      </c>
      <c r="AR37" s="17">
        <f t="shared" si="9"/>
        <v>-663655871.77779555</v>
      </c>
      <c r="AS37" s="17">
        <f t="shared" si="9"/>
        <v>-604029767.43101215</v>
      </c>
      <c r="AT37" s="17">
        <f t="shared" si="9"/>
        <v>-548316368.30248916</v>
      </c>
      <c r="AU37" s="17">
        <f t="shared" si="9"/>
        <v>-496865096.45168918</v>
      </c>
      <c r="AV37" s="17">
        <f t="shared" si="9"/>
        <v>-449955994.41316885</v>
      </c>
      <c r="AW37" s="17">
        <f t="shared" si="9"/>
        <v>-407798645.30460155</v>
      </c>
      <c r="AX37" s="17">
        <f t="shared" si="9"/>
        <v>-370532767.27507704</v>
      </c>
      <c r="AY37" s="17">
        <f t="shared" si="9"/>
        <v>-338230258.61560041</v>
      </c>
      <c r="AZ37" s="17">
        <f t="shared" si="9"/>
        <v>-310898426.98764783</v>
      </c>
      <c r="BA37" s="17">
        <f t="shared" si="9"/>
        <v>-288484115.21135038</v>
      </c>
      <c r="BB37" s="17">
        <f t="shared" si="9"/>
        <v>-270878436.21758103</v>
      </c>
      <c r="BC37" s="17">
        <f t="shared" si="9"/>
        <v>-257921848.72663555</v>
      </c>
      <c r="BD37" s="17">
        <f t="shared" si="9"/>
        <v>-249409339.23333699</v>
      </c>
      <c r="BE37" s="17">
        <f t="shared" si="9"/>
        <v>-245095520.31839663</v>
      </c>
      <c r="BF37" s="17">
        <f t="shared" si="9"/>
        <v>-244699505.14501652</v>
      </c>
      <c r="BG37" s="17">
        <f t="shared" si="9"/>
        <v>-247909468.33710882</v>
      </c>
      <c r="BH37" s="17">
        <f t="shared" si="9"/>
        <v>-254386849.95267132</v>
      </c>
      <c r="BI37" s="17">
        <f t="shared" si="9"/>
        <v>-263770198.59251887</v>
      </c>
      <c r="BJ37" s="17">
        <f t="shared" si="9"/>
        <v>-275678679.63987708</v>
      </c>
      <c r="BK37" s="17">
        <f t="shared" si="9"/>
        <v>-289715294.31888139</v>
      </c>
      <c r="BL37" s="17">
        <f t="shared" si="9"/>
        <v>-305469865.04501802</v>
      </c>
      <c r="BM37" s="17">
        <f t="shared" si="9"/>
        <v>-322521843.84679341</v>
      </c>
      <c r="BN37" s="17">
        <f t="shared" si="9"/>
        <v>-340442995.6895662</v>
      </c>
      <c r="BO37" s="20">
        <f t="shared" si="9"/>
        <v>-358800000</v>
      </c>
      <c r="BQ37" s="1"/>
      <c r="BR37" s="20">
        <v>0</v>
      </c>
      <c r="BS37" s="18">
        <f t="shared" si="10"/>
        <v>0.34159220146222585</v>
      </c>
      <c r="BT37" s="18">
        <f t="shared" si="6"/>
        <v>0.38671628039714145</v>
      </c>
      <c r="BU37" s="18">
        <f t="shared" si="6"/>
        <v>0.39358441341045358</v>
      </c>
      <c r="BV37" s="18">
        <f t="shared" si="6"/>
        <v>0.39465123071155617</v>
      </c>
      <c r="BW37" s="18">
        <f t="shared" si="6"/>
        <v>0.39481745705771343</v>
      </c>
      <c r="BX37" s="18">
        <f t="shared" si="6"/>
        <v>0.39484337025824812</v>
      </c>
      <c r="BY37" s="18">
        <f t="shared" si="6"/>
        <v>0.39484741020089803</v>
      </c>
      <c r="BZ37" s="18">
        <f t="shared" si="6"/>
        <v>0.39484804004704999</v>
      </c>
      <c r="CA37" s="18">
        <f t="shared" si="6"/>
        <v>0.3948481382432229</v>
      </c>
      <c r="CB37" s="18">
        <f t="shared" si="6"/>
        <v>0.39484815355250291</v>
      </c>
      <c r="CC37" s="18">
        <f t="shared" si="6"/>
        <v>0.39484815593929723</v>
      </c>
      <c r="CD37" s="18">
        <f t="shared" si="6"/>
        <v>0.39484815631141057</v>
      </c>
      <c r="CE37" s="18">
        <f t="shared" si="6"/>
        <v>0.39484815636942489</v>
      </c>
      <c r="CF37" s="18">
        <f t="shared" si="6"/>
        <v>0.39484815637846959</v>
      </c>
      <c r="CG37" s="18">
        <f t="shared" si="6"/>
        <v>0.39484815637987974</v>
      </c>
      <c r="CH37" s="18">
        <f t="shared" si="6"/>
        <v>0.39484815638009962</v>
      </c>
      <c r="CI37" s="18">
        <f t="shared" si="6"/>
        <v>0.39484815638013382</v>
      </c>
      <c r="CJ37" s="18">
        <f t="shared" si="6"/>
        <v>0.39484815638013915</v>
      </c>
      <c r="CK37" s="18">
        <f t="shared" si="6"/>
        <v>0.39484815638013998</v>
      </c>
      <c r="CL37" s="18">
        <f t="shared" si="6"/>
        <v>0.39484815638014015</v>
      </c>
      <c r="CM37" s="18">
        <f t="shared" si="6"/>
        <v>0.39484815638014015</v>
      </c>
      <c r="CN37" s="18">
        <f t="shared" si="6"/>
        <v>0.39484815638014015</v>
      </c>
      <c r="CO37" s="18">
        <f t="shared" si="6"/>
        <v>0.39484815638014015</v>
      </c>
      <c r="CP37" s="18">
        <f t="shared" si="6"/>
        <v>0.39484815638014015</v>
      </c>
      <c r="CQ37" s="18">
        <f t="shared" si="6"/>
        <v>0.39484815638014015</v>
      </c>
      <c r="CR37" s="18">
        <f t="shared" si="6"/>
        <v>0.39484815638014015</v>
      </c>
      <c r="CS37" s="18">
        <f t="shared" si="6"/>
        <v>0.39484815638014015</v>
      </c>
      <c r="CT37" s="18">
        <f t="shared" si="6"/>
        <v>0.39484815638014015</v>
      </c>
      <c r="CU37" s="20">
        <f t="shared" si="6"/>
        <v>0.39484815638014015</v>
      </c>
      <c r="CW37" s="1"/>
      <c r="CX37" s="20">
        <f t="shared" si="11"/>
        <v>300</v>
      </c>
      <c r="CY37" s="17">
        <f t="shared" si="12"/>
        <v>191.12220520712071</v>
      </c>
      <c r="CZ37" s="17">
        <f t="shared" si="7"/>
        <v>167.08416066015812</v>
      </c>
      <c r="DA37" s="17">
        <f t="shared" si="7"/>
        <v>153.41427937569918</v>
      </c>
      <c r="DB37" s="17">
        <f t="shared" si="7"/>
        <v>141.43415155745672</v>
      </c>
      <c r="DC37" s="17">
        <f t="shared" si="7"/>
        <v>130.01348790013151</v>
      </c>
      <c r="DD37" s="17">
        <f t="shared" si="7"/>
        <v>119.07009301423166</v>
      </c>
      <c r="DE37" s="17">
        <f t="shared" si="7"/>
        <v>108.66462108874124</v>
      </c>
      <c r="DF37" s="17">
        <f t="shared" si="7"/>
        <v>98.869835062786436</v>
      </c>
      <c r="DG37" s="17">
        <f t="shared" si="7"/>
        <v>89.751039488704819</v>
      </c>
      <c r="DH37" s="17">
        <f t="shared" si="7"/>
        <v>81.362732002828437</v>
      </c>
      <c r="DI37" s="17">
        <f t="shared" si="7"/>
        <v>73.747840397647664</v>
      </c>
      <c r="DJ37" s="17">
        <f t="shared" si="7"/>
        <v>66.937577557603177</v>
      </c>
      <c r="DK37" s="17">
        <f t="shared" si="7"/>
        <v>60.951606491252086</v>
      </c>
      <c r="DL37" s="17">
        <f t="shared" si="7"/>
        <v>55.798437008901267</v>
      </c>
      <c r="DM37" s="17">
        <f t="shared" si="7"/>
        <v>51.476003720168109</v>
      </c>
      <c r="DN37" s="17">
        <f t="shared" si="7"/>
        <v>47.972377565947092</v>
      </c>
      <c r="DO37" s="17">
        <f t="shared" si="7"/>
        <v>45.266564819406383</v>
      </c>
      <c r="DP37" s="17">
        <f t="shared" si="7"/>
        <v>43.329351469462203</v>
      </c>
      <c r="DQ37" s="17">
        <f t="shared" si="7"/>
        <v>42.124156982632464</v>
      </c>
      <c r="DR37" s="17">
        <f t="shared" si="7"/>
        <v>41.60786892420866</v>
      </c>
      <c r="DS37" s="17">
        <f t="shared" si="7"/>
        <v>41.731638012332006</v>
      </c>
      <c r="DT37" s="17">
        <f t="shared" si="7"/>
        <v>42.441621121626319</v>
      </c>
      <c r="DU37" s="17">
        <f t="shared" si="7"/>
        <v>43.679666903206083</v>
      </c>
      <c r="DV37" s="17">
        <f t="shared" si="7"/>
        <v>45.38394456849089</v>
      </c>
      <c r="DW37" s="17">
        <f t="shared" si="7"/>
        <v>47.489520716122868</v>
      </c>
      <c r="DX37" s="17">
        <f t="shared" si="7"/>
        <v>49.928891790416444</v>
      </c>
      <c r="DY37" s="17">
        <f t="shared" si="7"/>
        <v>52.632480962788406</v>
      </c>
      <c r="DZ37" s="17">
        <f t="shared" si="7"/>
        <v>55.529108197572768</v>
      </c>
      <c r="EA37" s="20">
        <f t="shared" si="7"/>
        <v>58.546441380896454</v>
      </c>
    </row>
    <row r="38" spans="5:131" x14ac:dyDescent="0.25">
      <c r="E38" s="1"/>
      <c r="F38" s="15">
        <v>300</v>
      </c>
      <c r="G38" s="16">
        <f t="shared" si="4"/>
        <v>279.99075248592419</v>
      </c>
      <c r="H38" s="16">
        <f t="shared" si="4"/>
        <v>260.15976623117024</v>
      </c>
      <c r="I38" s="16">
        <f t="shared" si="4"/>
        <v>240.68189080487468</v>
      </c>
      <c r="J38" s="16">
        <f t="shared" si="4"/>
        <v>221.72527278962025</v>
      </c>
      <c r="K38" s="16">
        <f t="shared" si="4"/>
        <v>203.44829810209558</v>
      </c>
      <c r="L38" s="16">
        <f t="shared" si="4"/>
        <v>185.99686738580453</v>
      </c>
      <c r="M38" s="16">
        <f t="shared" si="4"/>
        <v>169.50208465650391</v>
      </c>
      <c r="N38" s="16">
        <f t="shared" si="4"/>
        <v>154.07841610714536</v>
      </c>
      <c r="O38" s="16">
        <f t="shared" si="4"/>
        <v>139.82235048648153</v>
      </c>
      <c r="P38" s="16">
        <f t="shared" si="4"/>
        <v>126.81156664573973</v>
      </c>
      <c r="Q38" s="16">
        <f t="shared" si="4"/>
        <v>115.10458953398143</v>
      </c>
      <c r="R38" s="16">
        <f t="shared" si="4"/>
        <v>104.74089473192782</v>
      </c>
      <c r="S38" s="16">
        <f t="shared" si="4"/>
        <v>95.741404816158706</v>
      </c>
      <c r="T38" s="16">
        <f t="shared" si="4"/>
        <v>88.109309271680786</v>
      </c>
      <c r="U38" s="16">
        <f t="shared" si="4"/>
        <v>81.831133667011358</v>
      </c>
      <c r="V38" s="16">
        <f t="shared" si="4"/>
        <v>76.877983235760311</v>
      </c>
      <c r="W38" s="16">
        <f t="shared" si="4"/>
        <v>73.20689030136262</v>
      </c>
      <c r="X38" s="16">
        <f t="shared" si="4"/>
        <v>70.762203217829267</v>
      </c>
      <c r="Y38" s="16">
        <f t="shared" si="4"/>
        <v>69.476965524833702</v>
      </c>
      <c r="Z38" s="16">
        <f t="shared" si="4"/>
        <v>69.274246568514656</v>
      </c>
      <c r="AA38" s="16">
        <f t="shared" si="4"/>
        <v>70.068397679613867</v>
      </c>
      <c r="AB38" s="16">
        <f t="shared" si="4"/>
        <v>71.76622002509913</v>
      </c>
      <c r="AC38" s="16">
        <f t="shared" si="4"/>
        <v>74.268040586317341</v>
      </c>
      <c r="AD38" s="16">
        <f t="shared" si="4"/>
        <v>77.468700787505554</v>
      </c>
      <c r="AE38" s="16">
        <f t="shared" si="4"/>
        <v>81.258467845358439</v>
      </c>
      <c r="AF38" s="16">
        <f t="shared" si="4"/>
        <v>85.523881987496267</v>
      </c>
      <c r="AG38" s="16">
        <f t="shared" si="4"/>
        <v>90.148553619712885</v>
      </c>
      <c r="AH38" s="16">
        <f t="shared" si="8"/>
        <v>95.01392383558678</v>
      </c>
      <c r="AI38" s="15">
        <v>100</v>
      </c>
      <c r="AK38" s="1"/>
      <c r="AL38" s="20">
        <f t="shared" si="13"/>
        <v>-1076400000</v>
      </c>
      <c r="AM38" s="17">
        <f t="shared" si="9"/>
        <v>-1003917198.4116837</v>
      </c>
      <c r="AN38" s="17">
        <f t="shared" si="9"/>
        <v>-932087196.68646419</v>
      </c>
      <c r="AO38" s="17">
        <f t="shared" si="9"/>
        <v>-861550087.78753686</v>
      </c>
      <c r="AP38" s="17">
        <f t="shared" si="9"/>
        <v>-792921010.59150243</v>
      </c>
      <c r="AQ38" s="17">
        <f t="shared" si="9"/>
        <v>-726778794.18320453</v>
      </c>
      <c r="AR38" s="17">
        <f t="shared" si="9"/>
        <v>-663655871.77779543</v>
      </c>
      <c r="AS38" s="17">
        <f t="shared" si="9"/>
        <v>-604029767.43101215</v>
      </c>
      <c r="AT38" s="17">
        <f t="shared" si="9"/>
        <v>-548316368.30248916</v>
      </c>
      <c r="AU38" s="17">
        <f t="shared" si="9"/>
        <v>-496865096.45168918</v>
      </c>
      <c r="AV38" s="17">
        <f t="shared" si="9"/>
        <v>-449955994.41316867</v>
      </c>
      <c r="AW38" s="17">
        <f t="shared" si="9"/>
        <v>-407798645.30460143</v>
      </c>
      <c r="AX38" s="17">
        <f t="shared" si="9"/>
        <v>-370532767.27507687</v>
      </c>
      <c r="AY38" s="17">
        <f t="shared" si="9"/>
        <v>-338230258.61560035</v>
      </c>
      <c r="AZ38" s="17">
        <f t="shared" si="9"/>
        <v>-310898426.98764771</v>
      </c>
      <c r="BA38" s="17">
        <f t="shared" si="9"/>
        <v>-288484115.21135032</v>
      </c>
      <c r="BB38" s="17">
        <f t="shared" si="9"/>
        <v>-270878436.21758097</v>
      </c>
      <c r="BC38" s="17">
        <f t="shared" si="9"/>
        <v>-257921848.72663546</v>
      </c>
      <c r="BD38" s="17">
        <f t="shared" si="9"/>
        <v>-249409339.23333696</v>
      </c>
      <c r="BE38" s="17">
        <f t="shared" si="9"/>
        <v>-245095520.31839654</v>
      </c>
      <c r="BF38" s="17">
        <f t="shared" si="9"/>
        <v>-244699505.14501643</v>
      </c>
      <c r="BG38" s="17">
        <f t="shared" si="9"/>
        <v>-247909468.33710876</v>
      </c>
      <c r="BH38" s="17">
        <f t="shared" si="9"/>
        <v>-254386849.9526712</v>
      </c>
      <c r="BI38" s="17">
        <f t="shared" si="9"/>
        <v>-263770198.59251878</v>
      </c>
      <c r="BJ38" s="17">
        <f t="shared" si="9"/>
        <v>-275678679.63987702</v>
      </c>
      <c r="BK38" s="17">
        <f t="shared" si="9"/>
        <v>-289715294.31888133</v>
      </c>
      <c r="BL38" s="17">
        <f t="shared" si="9"/>
        <v>-305469865.0450179</v>
      </c>
      <c r="BM38" s="17">
        <f t="shared" si="9"/>
        <v>-322521843.84679335</v>
      </c>
      <c r="BN38" s="17">
        <f t="shared" si="9"/>
        <v>-340442995.6895662</v>
      </c>
      <c r="BO38" s="20">
        <f t="shared" si="9"/>
        <v>-358800000</v>
      </c>
      <c r="BQ38" s="1"/>
      <c r="BR38" s="20">
        <v>0</v>
      </c>
      <c r="BS38" s="18">
        <f t="shared" si="10"/>
        <v>0.34159220146222585</v>
      </c>
      <c r="BT38" s="18">
        <f t="shared" si="6"/>
        <v>0.38671628039714145</v>
      </c>
      <c r="BU38" s="18">
        <f t="shared" si="6"/>
        <v>0.39358441341045358</v>
      </c>
      <c r="BV38" s="18">
        <f t="shared" si="6"/>
        <v>0.39465123071155617</v>
      </c>
      <c r="BW38" s="18">
        <f t="shared" si="6"/>
        <v>0.39481745705771343</v>
      </c>
      <c r="BX38" s="18">
        <f t="shared" si="6"/>
        <v>0.39484337025824812</v>
      </c>
      <c r="BY38" s="18">
        <f t="shared" si="6"/>
        <v>0.39484741020089803</v>
      </c>
      <c r="BZ38" s="18">
        <f t="shared" si="6"/>
        <v>0.39484804004704999</v>
      </c>
      <c r="CA38" s="18">
        <f t="shared" si="6"/>
        <v>0.3948481382432229</v>
      </c>
      <c r="CB38" s="18">
        <f t="shared" si="6"/>
        <v>0.39484815355250291</v>
      </c>
      <c r="CC38" s="18">
        <f t="shared" si="6"/>
        <v>0.39484815593929723</v>
      </c>
      <c r="CD38" s="18">
        <f t="shared" si="6"/>
        <v>0.39484815631141057</v>
      </c>
      <c r="CE38" s="18">
        <f t="shared" si="6"/>
        <v>0.39484815636942489</v>
      </c>
      <c r="CF38" s="18">
        <f t="shared" si="6"/>
        <v>0.39484815637846959</v>
      </c>
      <c r="CG38" s="18">
        <f t="shared" si="6"/>
        <v>0.39484815637987974</v>
      </c>
      <c r="CH38" s="18">
        <f t="shared" si="6"/>
        <v>0.39484815638009962</v>
      </c>
      <c r="CI38" s="18">
        <f t="shared" si="6"/>
        <v>0.39484815638013382</v>
      </c>
      <c r="CJ38" s="18">
        <f t="shared" si="6"/>
        <v>0.39484815638013915</v>
      </c>
      <c r="CK38" s="18">
        <f t="shared" si="6"/>
        <v>0.39484815638013998</v>
      </c>
      <c r="CL38" s="18">
        <f t="shared" si="6"/>
        <v>0.39484815638014015</v>
      </c>
      <c r="CM38" s="18">
        <f t="shared" si="6"/>
        <v>0.39484815638014015</v>
      </c>
      <c r="CN38" s="18">
        <f t="shared" si="6"/>
        <v>0.39484815638014015</v>
      </c>
      <c r="CO38" s="18">
        <f t="shared" si="6"/>
        <v>0.39484815638014015</v>
      </c>
      <c r="CP38" s="18">
        <f t="shared" si="6"/>
        <v>0.39484815638014015</v>
      </c>
      <c r="CQ38" s="18">
        <f t="shared" si="6"/>
        <v>0.39484815638014015</v>
      </c>
      <c r="CR38" s="18">
        <f t="shared" si="6"/>
        <v>0.39484815638014015</v>
      </c>
      <c r="CS38" s="18">
        <f t="shared" si="6"/>
        <v>0.39484815638014015</v>
      </c>
      <c r="CT38" s="18">
        <f t="shared" si="6"/>
        <v>0.39484815638014015</v>
      </c>
      <c r="CU38" s="20">
        <f t="shared" si="6"/>
        <v>0.39484815638014015</v>
      </c>
      <c r="CW38" s="1"/>
      <c r="CX38" s="20">
        <f t="shared" si="11"/>
        <v>300</v>
      </c>
      <c r="CY38" s="17">
        <f t="shared" si="12"/>
        <v>191.12220520712071</v>
      </c>
      <c r="CZ38" s="17">
        <f t="shared" si="7"/>
        <v>167.08416066015812</v>
      </c>
      <c r="DA38" s="17">
        <f t="shared" si="7"/>
        <v>153.41427937569918</v>
      </c>
      <c r="DB38" s="17">
        <f t="shared" si="7"/>
        <v>141.43415155745669</v>
      </c>
      <c r="DC38" s="17">
        <f t="shared" si="7"/>
        <v>130.01348790013148</v>
      </c>
      <c r="DD38" s="17">
        <f t="shared" si="7"/>
        <v>119.07009301423165</v>
      </c>
      <c r="DE38" s="17">
        <f t="shared" si="7"/>
        <v>108.66462108874124</v>
      </c>
      <c r="DF38" s="17">
        <f t="shared" si="7"/>
        <v>98.869835062786436</v>
      </c>
      <c r="DG38" s="17">
        <f t="shared" si="7"/>
        <v>89.751039488704819</v>
      </c>
      <c r="DH38" s="17">
        <f t="shared" si="7"/>
        <v>81.362732002828423</v>
      </c>
      <c r="DI38" s="17">
        <f t="shared" si="7"/>
        <v>73.747840397647664</v>
      </c>
      <c r="DJ38" s="17">
        <f t="shared" si="7"/>
        <v>66.937577557603163</v>
      </c>
      <c r="DK38" s="17">
        <f t="shared" si="7"/>
        <v>60.951606491252079</v>
      </c>
      <c r="DL38" s="17">
        <f t="shared" si="7"/>
        <v>55.798437008901246</v>
      </c>
      <c r="DM38" s="17">
        <f t="shared" si="7"/>
        <v>51.476003720168094</v>
      </c>
      <c r="DN38" s="17">
        <f t="shared" si="7"/>
        <v>47.972377565947085</v>
      </c>
      <c r="DO38" s="17">
        <f t="shared" si="7"/>
        <v>45.266564819406369</v>
      </c>
      <c r="DP38" s="17">
        <f t="shared" si="7"/>
        <v>43.329351469462196</v>
      </c>
      <c r="DQ38" s="17">
        <f t="shared" si="7"/>
        <v>42.124156982632449</v>
      </c>
      <c r="DR38" s="17">
        <f t="shared" si="7"/>
        <v>41.607868924208638</v>
      </c>
      <c r="DS38" s="17">
        <f t="shared" si="7"/>
        <v>41.731638012331985</v>
      </c>
      <c r="DT38" s="17">
        <f t="shared" si="7"/>
        <v>42.441621121626305</v>
      </c>
      <c r="DU38" s="17">
        <f t="shared" si="7"/>
        <v>43.679666903206062</v>
      </c>
      <c r="DV38" s="17">
        <f t="shared" si="7"/>
        <v>45.383944568490875</v>
      </c>
      <c r="DW38" s="17">
        <f t="shared" si="7"/>
        <v>47.489520716122854</v>
      </c>
      <c r="DX38" s="17">
        <f t="shared" si="7"/>
        <v>49.928891790416422</v>
      </c>
      <c r="DY38" s="17">
        <f t="shared" si="7"/>
        <v>52.632480962788392</v>
      </c>
      <c r="DZ38" s="17">
        <f t="shared" si="7"/>
        <v>55.529108197572768</v>
      </c>
      <c r="EA38" s="20">
        <f t="shared" si="7"/>
        <v>58.546441380896454</v>
      </c>
    </row>
    <row r="39" spans="5:131" x14ac:dyDescent="0.25">
      <c r="E39" s="1"/>
      <c r="F39" s="15">
        <v>300</v>
      </c>
      <c r="G39" s="16">
        <f t="shared" si="4"/>
        <v>279.99075248592419</v>
      </c>
      <c r="H39" s="16">
        <f t="shared" si="4"/>
        <v>260.15976623117024</v>
      </c>
      <c r="I39" s="16">
        <f t="shared" si="4"/>
        <v>240.68189080487466</v>
      </c>
      <c r="J39" s="16">
        <f t="shared" si="4"/>
        <v>221.72527278962019</v>
      </c>
      <c r="K39" s="16">
        <f t="shared" si="4"/>
        <v>203.44829810209552</v>
      </c>
      <c r="L39" s="16">
        <f t="shared" si="4"/>
        <v>185.99686738580451</v>
      </c>
      <c r="M39" s="16">
        <f t="shared" si="4"/>
        <v>169.50208465650391</v>
      </c>
      <c r="N39" s="16">
        <f t="shared" si="4"/>
        <v>154.07841610714536</v>
      </c>
      <c r="O39" s="16">
        <f t="shared" si="4"/>
        <v>139.8223504864815</v>
      </c>
      <c r="P39" s="16">
        <f t="shared" si="4"/>
        <v>126.81156664573969</v>
      </c>
      <c r="Q39" s="16">
        <f t="shared" si="4"/>
        <v>115.10458953398137</v>
      </c>
      <c r="R39" s="16">
        <f t="shared" si="4"/>
        <v>104.7408947319278</v>
      </c>
      <c r="S39" s="16">
        <f t="shared" si="4"/>
        <v>95.741404816158678</v>
      </c>
      <c r="T39" s="16">
        <f t="shared" si="4"/>
        <v>88.109309271680758</v>
      </c>
      <c r="U39" s="16">
        <f t="shared" si="4"/>
        <v>81.831133667011315</v>
      </c>
      <c r="V39" s="16">
        <f t="shared" si="4"/>
        <v>76.877983235760269</v>
      </c>
      <c r="W39" s="16">
        <f t="shared" si="4"/>
        <v>73.206890301362606</v>
      </c>
      <c r="X39" s="16">
        <f t="shared" si="4"/>
        <v>70.762203217829239</v>
      </c>
      <c r="Y39" s="16">
        <f t="shared" si="4"/>
        <v>69.476965524833673</v>
      </c>
      <c r="Z39" s="16">
        <f t="shared" si="4"/>
        <v>69.274246568514641</v>
      </c>
      <c r="AA39" s="16">
        <f t="shared" si="4"/>
        <v>70.068397679613838</v>
      </c>
      <c r="AB39" s="16">
        <f t="shared" si="4"/>
        <v>71.766220025099102</v>
      </c>
      <c r="AC39" s="16">
        <f t="shared" si="4"/>
        <v>74.268040586317312</v>
      </c>
      <c r="AD39" s="16">
        <f t="shared" si="4"/>
        <v>77.468700787505526</v>
      </c>
      <c r="AE39" s="16">
        <f t="shared" si="4"/>
        <v>81.25846784535841</v>
      </c>
      <c r="AF39" s="16">
        <f t="shared" si="4"/>
        <v>85.523881987496253</v>
      </c>
      <c r="AG39" s="16">
        <f t="shared" si="4"/>
        <v>90.148553619712857</v>
      </c>
      <c r="AH39" s="16">
        <f t="shared" si="8"/>
        <v>95.013923835586766</v>
      </c>
      <c r="AI39" s="15">
        <v>100</v>
      </c>
      <c r="AK39" s="1"/>
      <c r="AL39" s="20">
        <f t="shared" si="13"/>
        <v>-1076400000</v>
      </c>
      <c r="AM39" s="17">
        <f t="shared" si="9"/>
        <v>-1003917198.4116837</v>
      </c>
      <c r="AN39" s="17">
        <f t="shared" si="9"/>
        <v>-932087196.68646419</v>
      </c>
      <c r="AO39" s="17">
        <f t="shared" si="9"/>
        <v>-861550087.78753686</v>
      </c>
      <c r="AP39" s="17">
        <f t="shared" si="9"/>
        <v>-792921010.59150219</v>
      </c>
      <c r="AQ39" s="17">
        <f t="shared" si="9"/>
        <v>-726778794.18320441</v>
      </c>
      <c r="AR39" s="17">
        <f t="shared" si="9"/>
        <v>-663655871.7777952</v>
      </c>
      <c r="AS39" s="17">
        <f t="shared" si="9"/>
        <v>-604029767.43101203</v>
      </c>
      <c r="AT39" s="17">
        <f t="shared" si="9"/>
        <v>-548316368.30248916</v>
      </c>
      <c r="AU39" s="17">
        <f t="shared" si="9"/>
        <v>-496865096.45168912</v>
      </c>
      <c r="AV39" s="17">
        <f t="shared" si="9"/>
        <v>-449955994.41316861</v>
      </c>
      <c r="AW39" s="17">
        <f t="shared" si="9"/>
        <v>-407798645.30460131</v>
      </c>
      <c r="AX39" s="17">
        <f t="shared" si="9"/>
        <v>-370532767.27507681</v>
      </c>
      <c r="AY39" s="17">
        <f t="shared" si="9"/>
        <v>-338230258.61560017</v>
      </c>
      <c r="AZ39" s="17">
        <f t="shared" si="9"/>
        <v>-310898426.98764753</v>
      </c>
      <c r="BA39" s="17">
        <f t="shared" si="9"/>
        <v>-288484115.2113502</v>
      </c>
      <c r="BB39" s="17">
        <f t="shared" si="9"/>
        <v>-270878436.2175808</v>
      </c>
      <c r="BC39" s="17">
        <f t="shared" si="9"/>
        <v>-257921848.72663537</v>
      </c>
      <c r="BD39" s="17">
        <f t="shared" si="9"/>
        <v>-249409339.23333684</v>
      </c>
      <c r="BE39" s="17">
        <f t="shared" si="9"/>
        <v>-245095520.31839648</v>
      </c>
      <c r="BF39" s="17">
        <f t="shared" si="9"/>
        <v>-244699505.14501637</v>
      </c>
      <c r="BG39" s="17">
        <f t="shared" si="9"/>
        <v>-247909468.33710867</v>
      </c>
      <c r="BH39" s="17">
        <f t="shared" si="9"/>
        <v>-254386849.95267111</v>
      </c>
      <c r="BI39" s="17">
        <f t="shared" si="9"/>
        <v>-263770198.59251872</v>
      </c>
      <c r="BJ39" s="17">
        <f t="shared" si="9"/>
        <v>-275678679.63987696</v>
      </c>
      <c r="BK39" s="17">
        <f t="shared" si="9"/>
        <v>-289715294.31888127</v>
      </c>
      <c r="BL39" s="17">
        <f t="shared" si="9"/>
        <v>-305469865.04501778</v>
      </c>
      <c r="BM39" s="17">
        <f t="shared" si="9"/>
        <v>-322521843.84679329</v>
      </c>
      <c r="BN39" s="17">
        <f t="shared" si="9"/>
        <v>-340442995.68956614</v>
      </c>
      <c r="BO39" s="20">
        <f t="shared" si="9"/>
        <v>-358800000</v>
      </c>
      <c r="BQ39" s="1"/>
      <c r="BR39" s="20">
        <v>0</v>
      </c>
      <c r="BS39" s="18">
        <f t="shared" si="10"/>
        <v>0.34159220146222585</v>
      </c>
      <c r="BT39" s="18">
        <f t="shared" si="6"/>
        <v>0.38671628039714145</v>
      </c>
      <c r="BU39" s="18">
        <f t="shared" si="6"/>
        <v>0.39358441341045358</v>
      </c>
      <c r="BV39" s="18">
        <f t="shared" si="6"/>
        <v>0.39465123071155617</v>
      </c>
      <c r="BW39" s="18">
        <f t="shared" si="6"/>
        <v>0.39481745705771343</v>
      </c>
      <c r="BX39" s="18">
        <f t="shared" si="6"/>
        <v>0.39484337025824812</v>
      </c>
      <c r="BY39" s="18">
        <f t="shared" si="6"/>
        <v>0.39484741020089803</v>
      </c>
      <c r="BZ39" s="18">
        <f t="shared" si="6"/>
        <v>0.39484804004704999</v>
      </c>
      <c r="CA39" s="18">
        <f t="shared" si="6"/>
        <v>0.3948481382432229</v>
      </c>
      <c r="CB39" s="18">
        <f t="shared" si="6"/>
        <v>0.39484815355250291</v>
      </c>
      <c r="CC39" s="18">
        <f t="shared" si="6"/>
        <v>0.39484815593929723</v>
      </c>
      <c r="CD39" s="18">
        <f t="shared" si="6"/>
        <v>0.39484815631141057</v>
      </c>
      <c r="CE39" s="18">
        <f t="shared" si="6"/>
        <v>0.39484815636942489</v>
      </c>
      <c r="CF39" s="18">
        <f t="shared" si="6"/>
        <v>0.39484815637846959</v>
      </c>
      <c r="CG39" s="18">
        <f t="shared" si="6"/>
        <v>0.39484815637987974</v>
      </c>
      <c r="CH39" s="18">
        <f t="shared" si="6"/>
        <v>0.39484815638009962</v>
      </c>
      <c r="CI39" s="18">
        <f t="shared" si="6"/>
        <v>0.39484815638013382</v>
      </c>
      <c r="CJ39" s="18">
        <f t="shared" si="6"/>
        <v>0.39484815638013915</v>
      </c>
      <c r="CK39" s="18">
        <f t="shared" si="6"/>
        <v>0.39484815638013998</v>
      </c>
      <c r="CL39" s="18">
        <f t="shared" si="6"/>
        <v>0.39484815638014015</v>
      </c>
      <c r="CM39" s="18">
        <f t="shared" si="6"/>
        <v>0.39484815638014015</v>
      </c>
      <c r="CN39" s="18">
        <f t="shared" si="6"/>
        <v>0.39484815638014015</v>
      </c>
      <c r="CO39" s="18">
        <f t="shared" si="6"/>
        <v>0.39484815638014015</v>
      </c>
      <c r="CP39" s="18">
        <f t="shared" si="6"/>
        <v>0.39484815638014015</v>
      </c>
      <c r="CQ39" s="18">
        <f t="shared" si="6"/>
        <v>0.39484815638014015</v>
      </c>
      <c r="CR39" s="18">
        <f t="shared" si="6"/>
        <v>0.39484815638014015</v>
      </c>
      <c r="CS39" s="18">
        <f t="shared" si="6"/>
        <v>0.39484815638014015</v>
      </c>
      <c r="CT39" s="18">
        <f t="shared" si="6"/>
        <v>0.39484815638014015</v>
      </c>
      <c r="CU39" s="20">
        <f t="shared" si="6"/>
        <v>0.39484815638014015</v>
      </c>
      <c r="CW39" s="1"/>
      <c r="CX39" s="20">
        <f t="shared" si="11"/>
        <v>300</v>
      </c>
      <c r="CY39" s="17">
        <f t="shared" si="12"/>
        <v>191.12220520712071</v>
      </c>
      <c r="CZ39" s="17">
        <f t="shared" si="7"/>
        <v>167.08416066015812</v>
      </c>
      <c r="DA39" s="17">
        <f t="shared" si="7"/>
        <v>153.41427937569918</v>
      </c>
      <c r="DB39" s="17">
        <f t="shared" si="7"/>
        <v>141.43415155745666</v>
      </c>
      <c r="DC39" s="17">
        <f t="shared" si="7"/>
        <v>130.01348790013145</v>
      </c>
      <c r="DD39" s="17">
        <f t="shared" si="7"/>
        <v>119.07009301423162</v>
      </c>
      <c r="DE39" s="17">
        <f t="shared" si="7"/>
        <v>108.66462108874123</v>
      </c>
      <c r="DF39" s="17">
        <f t="shared" si="7"/>
        <v>98.869835062786436</v>
      </c>
      <c r="DG39" s="17">
        <f t="shared" si="7"/>
        <v>89.751039488704805</v>
      </c>
      <c r="DH39" s="17">
        <f t="shared" si="7"/>
        <v>81.362732002828395</v>
      </c>
      <c r="DI39" s="17">
        <f t="shared" si="7"/>
        <v>73.747840397647636</v>
      </c>
      <c r="DJ39" s="17">
        <f t="shared" si="7"/>
        <v>66.937577557603134</v>
      </c>
      <c r="DK39" s="17">
        <f t="shared" si="7"/>
        <v>60.951606491252051</v>
      </c>
      <c r="DL39" s="17">
        <f t="shared" si="7"/>
        <v>55.798437008901224</v>
      </c>
      <c r="DM39" s="17">
        <f t="shared" si="7"/>
        <v>51.476003720168073</v>
      </c>
      <c r="DN39" s="17">
        <f t="shared" si="7"/>
        <v>47.972377565947049</v>
      </c>
      <c r="DO39" s="17">
        <f t="shared" si="7"/>
        <v>45.266564819406355</v>
      </c>
      <c r="DP39" s="17">
        <f t="shared" si="7"/>
        <v>43.329351469462175</v>
      </c>
      <c r="DQ39" s="17">
        <f t="shared" si="7"/>
        <v>42.124156982632428</v>
      </c>
      <c r="DR39" s="17">
        <f t="shared" si="7"/>
        <v>41.607868924208624</v>
      </c>
      <c r="DS39" s="17">
        <f t="shared" si="7"/>
        <v>41.73163801233197</v>
      </c>
      <c r="DT39" s="17">
        <f t="shared" si="7"/>
        <v>42.441621121626284</v>
      </c>
      <c r="DU39" s="17">
        <f t="shared" si="7"/>
        <v>43.679666903206048</v>
      </c>
      <c r="DV39" s="17">
        <f t="shared" si="7"/>
        <v>45.383944568490868</v>
      </c>
      <c r="DW39" s="17">
        <f t="shared" si="7"/>
        <v>47.489520716122847</v>
      </c>
      <c r="DX39" s="17">
        <f t="shared" si="7"/>
        <v>49.928891790416415</v>
      </c>
      <c r="DY39" s="17">
        <f t="shared" si="7"/>
        <v>52.632480962788378</v>
      </c>
      <c r="DZ39" s="17">
        <f t="shared" si="7"/>
        <v>55.529108197572754</v>
      </c>
      <c r="EA39" s="20">
        <f t="shared" si="7"/>
        <v>58.546441380896454</v>
      </c>
    </row>
    <row r="40" spans="5:131" x14ac:dyDescent="0.25">
      <c r="E40" s="1"/>
      <c r="F40" s="15">
        <v>300</v>
      </c>
      <c r="G40" s="16">
        <f t="shared" si="4"/>
        <v>279.99075248592419</v>
      </c>
      <c r="H40" s="16">
        <f t="shared" si="4"/>
        <v>260.15976623117012</v>
      </c>
      <c r="I40" s="16">
        <f t="shared" si="4"/>
        <v>240.68189080487463</v>
      </c>
      <c r="J40" s="16">
        <f t="shared" si="4"/>
        <v>221.72527278962019</v>
      </c>
      <c r="K40" s="16">
        <f t="shared" si="4"/>
        <v>203.44829810209549</v>
      </c>
      <c r="L40" s="16">
        <f t="shared" si="4"/>
        <v>185.99686738580445</v>
      </c>
      <c r="M40" s="16">
        <f t="shared" si="4"/>
        <v>169.50208465650385</v>
      </c>
      <c r="N40" s="16">
        <f t="shared" si="4"/>
        <v>154.0784161071453</v>
      </c>
      <c r="O40" s="16">
        <f t="shared" si="4"/>
        <v>139.82235048648147</v>
      </c>
      <c r="P40" s="16">
        <f t="shared" si="4"/>
        <v>126.81156664573967</v>
      </c>
      <c r="Q40" s="16">
        <f t="shared" si="4"/>
        <v>115.10458953398134</v>
      </c>
      <c r="R40" s="16">
        <f t="shared" si="4"/>
        <v>104.74089473192777</v>
      </c>
      <c r="S40" s="16">
        <f t="shared" si="4"/>
        <v>95.741404816158649</v>
      </c>
      <c r="T40" s="16">
        <f t="shared" si="4"/>
        <v>88.109309271680729</v>
      </c>
      <c r="U40" s="16">
        <f t="shared" si="4"/>
        <v>81.831133667011301</v>
      </c>
      <c r="V40" s="16">
        <f t="shared" si="4"/>
        <v>76.877983235760254</v>
      </c>
      <c r="W40" s="16">
        <f t="shared" si="4"/>
        <v>73.206890301362577</v>
      </c>
      <c r="X40" s="16">
        <f t="shared" si="4"/>
        <v>70.76220321782921</v>
      </c>
      <c r="Y40" s="16">
        <f t="shared" si="4"/>
        <v>69.476965524833659</v>
      </c>
      <c r="Z40" s="16">
        <f t="shared" si="4"/>
        <v>69.274246568514627</v>
      </c>
      <c r="AA40" s="16">
        <f t="shared" si="4"/>
        <v>70.068397679613838</v>
      </c>
      <c r="AB40" s="16">
        <f t="shared" si="4"/>
        <v>71.766220025099088</v>
      </c>
      <c r="AC40" s="16">
        <f t="shared" si="4"/>
        <v>74.268040586317298</v>
      </c>
      <c r="AD40" s="16">
        <f t="shared" si="4"/>
        <v>77.468700787505512</v>
      </c>
      <c r="AE40" s="16">
        <f t="shared" si="4"/>
        <v>81.258467845358396</v>
      </c>
      <c r="AF40" s="16">
        <f t="shared" si="4"/>
        <v>85.523881987496239</v>
      </c>
      <c r="AG40" s="16">
        <f t="shared" si="4"/>
        <v>90.148553619712857</v>
      </c>
      <c r="AH40" s="16">
        <f t="shared" si="8"/>
        <v>95.013923835586752</v>
      </c>
      <c r="AI40" s="15">
        <v>100</v>
      </c>
      <c r="AK40" s="1"/>
      <c r="AL40" s="20">
        <f t="shared" si="13"/>
        <v>-1076400000</v>
      </c>
      <c r="AM40" s="17">
        <f t="shared" si="9"/>
        <v>-1003917198.4116834</v>
      </c>
      <c r="AN40" s="17">
        <f t="shared" si="9"/>
        <v>-932087196.68646395</v>
      </c>
      <c r="AO40" s="17">
        <f t="shared" si="9"/>
        <v>-861550087.78753662</v>
      </c>
      <c r="AP40" s="17">
        <f t="shared" si="9"/>
        <v>-792921010.59150195</v>
      </c>
      <c r="AQ40" s="17">
        <f t="shared" si="9"/>
        <v>-726778794.18320405</v>
      </c>
      <c r="AR40" s="17">
        <f t="shared" si="9"/>
        <v>-663655871.77779496</v>
      </c>
      <c r="AS40" s="17">
        <f t="shared" si="9"/>
        <v>-604029767.4310118</v>
      </c>
      <c r="AT40" s="17">
        <f t="shared" si="9"/>
        <v>-548316368.30248892</v>
      </c>
      <c r="AU40" s="17">
        <f t="shared" si="9"/>
        <v>-496865096.45168889</v>
      </c>
      <c r="AV40" s="17">
        <f t="shared" si="9"/>
        <v>-449955994.41316843</v>
      </c>
      <c r="AW40" s="17">
        <f t="shared" si="9"/>
        <v>-407798645.30460113</v>
      </c>
      <c r="AX40" s="17">
        <f t="shared" si="9"/>
        <v>-370532767.27507669</v>
      </c>
      <c r="AY40" s="17">
        <f t="shared" si="9"/>
        <v>-338230258.61559999</v>
      </c>
      <c r="AZ40" s="17">
        <f t="shared" si="9"/>
        <v>-310898426.98764747</v>
      </c>
      <c r="BA40" s="17">
        <f t="shared" si="9"/>
        <v>-288484115.21135014</v>
      </c>
      <c r="BB40" s="17">
        <f t="shared" si="9"/>
        <v>-270878436.21758074</v>
      </c>
      <c r="BC40" s="17">
        <f t="shared" si="9"/>
        <v>-257921848.72663531</v>
      </c>
      <c r="BD40" s="17">
        <f t="shared" si="9"/>
        <v>-249409339.23333675</v>
      </c>
      <c r="BE40" s="17">
        <f t="shared" si="9"/>
        <v>-245095520.31839636</v>
      </c>
      <c r="BF40" s="17">
        <f t="shared" si="9"/>
        <v>-244699505.14501625</v>
      </c>
      <c r="BG40" s="17">
        <f t="shared" si="9"/>
        <v>-247909468.33710861</v>
      </c>
      <c r="BH40" s="17">
        <f t="shared" si="9"/>
        <v>-254386849.95267105</v>
      </c>
      <c r="BI40" s="17">
        <f t="shared" si="9"/>
        <v>-263770198.59251863</v>
      </c>
      <c r="BJ40" s="17">
        <f t="shared" si="9"/>
        <v>-275678679.63987684</v>
      </c>
      <c r="BK40" s="17">
        <f t="shared" si="9"/>
        <v>-289715294.31888121</v>
      </c>
      <c r="BL40" s="17">
        <f t="shared" si="9"/>
        <v>-305469865.04501778</v>
      </c>
      <c r="BM40" s="17">
        <f t="shared" si="9"/>
        <v>-322521843.84679317</v>
      </c>
      <c r="BN40" s="17">
        <f t="shared" si="9"/>
        <v>-340442995.68956614</v>
      </c>
      <c r="BO40" s="20">
        <f t="shared" si="9"/>
        <v>-358800000</v>
      </c>
      <c r="BQ40" s="1"/>
      <c r="BR40" s="20">
        <v>0</v>
      </c>
      <c r="BS40" s="18">
        <f t="shared" si="10"/>
        <v>0.34159220146222585</v>
      </c>
      <c r="BT40" s="18">
        <f t="shared" si="6"/>
        <v>0.38671628039714145</v>
      </c>
      <c r="BU40" s="18">
        <f t="shared" si="6"/>
        <v>0.39358441341045358</v>
      </c>
      <c r="BV40" s="18">
        <f t="shared" si="6"/>
        <v>0.39465123071155617</v>
      </c>
      <c r="BW40" s="18">
        <f t="shared" si="6"/>
        <v>0.39481745705771343</v>
      </c>
      <c r="BX40" s="18">
        <f t="shared" si="6"/>
        <v>0.39484337025824812</v>
      </c>
      <c r="BY40" s="18">
        <f t="shared" si="6"/>
        <v>0.39484741020089803</v>
      </c>
      <c r="BZ40" s="18">
        <f t="shared" si="6"/>
        <v>0.39484804004704999</v>
      </c>
      <c r="CA40" s="18">
        <f t="shared" si="6"/>
        <v>0.3948481382432229</v>
      </c>
      <c r="CB40" s="18">
        <f t="shared" si="6"/>
        <v>0.39484815355250291</v>
      </c>
      <c r="CC40" s="18">
        <f t="shared" si="6"/>
        <v>0.39484815593929723</v>
      </c>
      <c r="CD40" s="18">
        <f t="shared" si="6"/>
        <v>0.39484815631141057</v>
      </c>
      <c r="CE40" s="18">
        <f t="shared" si="6"/>
        <v>0.39484815636942489</v>
      </c>
      <c r="CF40" s="18">
        <f t="shared" si="6"/>
        <v>0.39484815637846959</v>
      </c>
      <c r="CG40" s="18">
        <f t="shared" si="6"/>
        <v>0.39484815637987974</v>
      </c>
      <c r="CH40" s="18">
        <f t="shared" si="6"/>
        <v>0.39484815638009962</v>
      </c>
      <c r="CI40" s="18">
        <f t="shared" si="6"/>
        <v>0.39484815638013382</v>
      </c>
      <c r="CJ40" s="18">
        <f t="shared" si="6"/>
        <v>0.39484815638013915</v>
      </c>
      <c r="CK40" s="18">
        <f t="shared" si="6"/>
        <v>0.39484815638013998</v>
      </c>
      <c r="CL40" s="18">
        <f t="shared" si="6"/>
        <v>0.39484815638014015</v>
      </c>
      <c r="CM40" s="18">
        <f t="shared" si="6"/>
        <v>0.39484815638014015</v>
      </c>
      <c r="CN40" s="18">
        <f t="shared" si="6"/>
        <v>0.39484815638014015</v>
      </c>
      <c r="CO40" s="18">
        <f t="shared" si="6"/>
        <v>0.39484815638014015</v>
      </c>
      <c r="CP40" s="18">
        <f t="shared" si="6"/>
        <v>0.39484815638014015</v>
      </c>
      <c r="CQ40" s="18">
        <f t="shared" si="6"/>
        <v>0.39484815638014015</v>
      </c>
      <c r="CR40" s="18">
        <f t="shared" si="6"/>
        <v>0.39484815638014015</v>
      </c>
      <c r="CS40" s="18">
        <f t="shared" si="6"/>
        <v>0.39484815638014015</v>
      </c>
      <c r="CT40" s="18">
        <f t="shared" si="6"/>
        <v>0.39484815638014015</v>
      </c>
      <c r="CU40" s="20">
        <f t="shared" si="6"/>
        <v>0.39484815638014015</v>
      </c>
      <c r="CW40" s="1"/>
      <c r="CX40" s="20">
        <f t="shared" si="11"/>
        <v>300</v>
      </c>
      <c r="CY40" s="17">
        <f t="shared" si="12"/>
        <v>191.12220520712071</v>
      </c>
      <c r="CZ40" s="17">
        <f t="shared" si="7"/>
        <v>167.08416066015806</v>
      </c>
      <c r="DA40" s="17">
        <f t="shared" si="7"/>
        <v>153.41427937569915</v>
      </c>
      <c r="DB40" s="17">
        <f t="shared" si="7"/>
        <v>141.43415155745663</v>
      </c>
      <c r="DC40" s="17">
        <f t="shared" si="7"/>
        <v>130.01348790013142</v>
      </c>
      <c r="DD40" s="17">
        <f t="shared" si="7"/>
        <v>119.07009301423159</v>
      </c>
      <c r="DE40" s="17">
        <f t="shared" si="7"/>
        <v>108.6646210887412</v>
      </c>
      <c r="DF40" s="17">
        <f t="shared" si="7"/>
        <v>98.869835062786393</v>
      </c>
      <c r="DG40" s="17">
        <f t="shared" si="7"/>
        <v>89.751039488704762</v>
      </c>
      <c r="DH40" s="17">
        <f t="shared" si="7"/>
        <v>81.36273200282838</v>
      </c>
      <c r="DI40" s="17">
        <f t="shared" si="7"/>
        <v>73.747840397647607</v>
      </c>
      <c r="DJ40" s="17">
        <f t="shared" si="7"/>
        <v>66.93757755760312</v>
      </c>
      <c r="DK40" s="17">
        <f t="shared" si="7"/>
        <v>60.951606491252029</v>
      </c>
      <c r="DL40" s="17">
        <f t="shared" si="7"/>
        <v>55.79843700890121</v>
      </c>
      <c r="DM40" s="17">
        <f t="shared" si="7"/>
        <v>51.476003720168059</v>
      </c>
      <c r="DN40" s="17">
        <f t="shared" si="7"/>
        <v>47.972377565947042</v>
      </c>
      <c r="DO40" s="17">
        <f t="shared" si="7"/>
        <v>45.266564819406341</v>
      </c>
      <c r="DP40" s="17">
        <f t="shared" si="7"/>
        <v>43.329351469462161</v>
      </c>
      <c r="DQ40" s="17">
        <f t="shared" si="7"/>
        <v>42.124156982632421</v>
      </c>
      <c r="DR40" s="17">
        <f t="shared" si="7"/>
        <v>41.607868924208617</v>
      </c>
      <c r="DS40" s="17">
        <f t="shared" si="7"/>
        <v>41.731638012331963</v>
      </c>
      <c r="DT40" s="17">
        <f t="shared" si="7"/>
        <v>42.441621121626277</v>
      </c>
      <c r="DU40" s="17">
        <f t="shared" si="7"/>
        <v>43.679666903206041</v>
      </c>
      <c r="DV40" s="17">
        <f t="shared" si="7"/>
        <v>45.383944568490847</v>
      </c>
      <c r="DW40" s="17">
        <f t="shared" si="7"/>
        <v>47.489520716122833</v>
      </c>
      <c r="DX40" s="17">
        <f t="shared" si="7"/>
        <v>49.928891790416408</v>
      </c>
      <c r="DY40" s="17">
        <f t="shared" si="7"/>
        <v>52.632480962788364</v>
      </c>
      <c r="DZ40" s="17">
        <f t="shared" si="7"/>
        <v>55.529108197572739</v>
      </c>
      <c r="EA40" s="20">
        <f t="shared" si="7"/>
        <v>58.546441380896447</v>
      </c>
    </row>
    <row r="41" spans="5:131" x14ac:dyDescent="0.25">
      <c r="E41" s="1"/>
      <c r="F41" s="15">
        <v>300</v>
      </c>
      <c r="G41" s="16">
        <f t="shared" si="4"/>
        <v>279.99075248592413</v>
      </c>
      <c r="H41" s="16">
        <f t="shared" si="4"/>
        <v>260.15976623117012</v>
      </c>
      <c r="I41" s="16">
        <f t="shared" si="4"/>
        <v>240.68189080487457</v>
      </c>
      <c r="J41" s="16">
        <f t="shared" si="4"/>
        <v>221.72527278962013</v>
      </c>
      <c r="K41" s="16">
        <f t="shared" si="4"/>
        <v>203.44829810209544</v>
      </c>
      <c r="L41" s="16">
        <f t="shared" si="4"/>
        <v>185.99686738580436</v>
      </c>
      <c r="M41" s="16">
        <f t="shared" si="4"/>
        <v>169.50208465650377</v>
      </c>
      <c r="N41" s="16">
        <f t="shared" si="4"/>
        <v>154.07841610714519</v>
      </c>
      <c r="O41" s="16">
        <f t="shared" si="4"/>
        <v>139.82235048648138</v>
      </c>
      <c r="P41" s="16">
        <f t="shared" si="4"/>
        <v>126.81156664573962</v>
      </c>
      <c r="Q41" s="16">
        <f t="shared" si="4"/>
        <v>115.10458953398128</v>
      </c>
      <c r="R41" s="16">
        <f t="shared" si="4"/>
        <v>104.74089473192771</v>
      </c>
      <c r="S41" s="16">
        <f t="shared" si="4"/>
        <v>95.741404816158592</v>
      </c>
      <c r="T41" s="16">
        <f t="shared" si="4"/>
        <v>88.109309271680686</v>
      </c>
      <c r="U41" s="16">
        <f t="shared" si="4"/>
        <v>81.831133667011258</v>
      </c>
      <c r="V41" s="16">
        <f t="shared" si="4"/>
        <v>76.877983235760212</v>
      </c>
      <c r="W41" s="16">
        <f t="shared" si="4"/>
        <v>73.206890301362535</v>
      </c>
      <c r="X41" s="16">
        <f t="shared" si="4"/>
        <v>70.762203217829182</v>
      </c>
      <c r="Y41" s="16">
        <f t="shared" si="4"/>
        <v>69.476965524833631</v>
      </c>
      <c r="Z41" s="16">
        <f t="shared" si="4"/>
        <v>69.274246568514599</v>
      </c>
      <c r="AA41" s="16">
        <f t="shared" si="4"/>
        <v>70.068397679613796</v>
      </c>
      <c r="AB41" s="16">
        <f t="shared" si="4"/>
        <v>71.766220025099059</v>
      </c>
      <c r="AC41" s="16">
        <f t="shared" si="4"/>
        <v>74.268040586317284</v>
      </c>
      <c r="AD41" s="16">
        <f t="shared" si="4"/>
        <v>77.468700787505483</v>
      </c>
      <c r="AE41" s="16">
        <f t="shared" si="4"/>
        <v>81.258467845358368</v>
      </c>
      <c r="AF41" s="16">
        <f t="shared" si="4"/>
        <v>85.52388198749621</v>
      </c>
      <c r="AG41" s="16">
        <f t="shared" si="4"/>
        <v>90.148553619712843</v>
      </c>
      <c r="AH41" s="16">
        <f t="shared" si="8"/>
        <v>95.013923835586752</v>
      </c>
      <c r="AI41" s="15">
        <v>100</v>
      </c>
      <c r="AK41" s="1"/>
      <c r="AL41" s="20">
        <f t="shared" si="13"/>
        <v>-1076400000</v>
      </c>
      <c r="AM41" s="17">
        <f t="shared" si="9"/>
        <v>-1003917198.4116832</v>
      </c>
      <c r="AN41" s="17">
        <f t="shared" si="9"/>
        <v>-932087196.68646383</v>
      </c>
      <c r="AO41" s="17">
        <f t="shared" si="9"/>
        <v>-861550087.78753638</v>
      </c>
      <c r="AP41" s="17">
        <f t="shared" si="9"/>
        <v>-792921010.59150195</v>
      </c>
      <c r="AQ41" s="17">
        <f t="shared" si="9"/>
        <v>-726778794.18320394</v>
      </c>
      <c r="AR41" s="17">
        <f t="shared" si="9"/>
        <v>-663655871.77779472</v>
      </c>
      <c r="AS41" s="17">
        <f t="shared" si="9"/>
        <v>-604029767.43101156</v>
      </c>
      <c r="AT41" s="17">
        <f t="shared" si="9"/>
        <v>-548316368.30248857</v>
      </c>
      <c r="AU41" s="17">
        <f t="shared" si="9"/>
        <v>-496865096.45168871</v>
      </c>
      <c r="AV41" s="17">
        <f t="shared" si="9"/>
        <v>-449955994.41316831</v>
      </c>
      <c r="AW41" s="17">
        <f t="shared" si="9"/>
        <v>-407798645.30460107</v>
      </c>
      <c r="AX41" s="17">
        <f t="shared" si="9"/>
        <v>-370532767.27507645</v>
      </c>
      <c r="AY41" s="17">
        <f t="shared" si="9"/>
        <v>-338230258.61559987</v>
      </c>
      <c r="AZ41" s="17">
        <f t="shared" si="9"/>
        <v>-310898426.98764729</v>
      </c>
      <c r="BA41" s="17">
        <f t="shared" si="9"/>
        <v>-288484115.21135002</v>
      </c>
      <c r="BB41" s="17">
        <f t="shared" si="9"/>
        <v>-270878436.21758068</v>
      </c>
      <c r="BC41" s="17">
        <f t="shared" si="9"/>
        <v>-257921848.72663519</v>
      </c>
      <c r="BD41" s="17">
        <f t="shared" si="9"/>
        <v>-249409339.23333663</v>
      </c>
      <c r="BE41" s="17">
        <f t="shared" si="9"/>
        <v>-245095520.31839633</v>
      </c>
      <c r="BF41" s="17">
        <f t="shared" si="9"/>
        <v>-244699505.14501616</v>
      </c>
      <c r="BG41" s="17">
        <f t="shared" si="9"/>
        <v>-247909468.33710852</v>
      </c>
      <c r="BH41" s="17">
        <f t="shared" si="9"/>
        <v>-254386849.95267096</v>
      </c>
      <c r="BI41" s="17">
        <f t="shared" si="9"/>
        <v>-263770198.59251851</v>
      </c>
      <c r="BJ41" s="17">
        <f t="shared" si="9"/>
        <v>-275678679.63987672</v>
      </c>
      <c r="BK41" s="17">
        <f t="shared" si="9"/>
        <v>-289715294.31888109</v>
      </c>
      <c r="BL41" s="17">
        <f t="shared" si="9"/>
        <v>-305469865.04501772</v>
      </c>
      <c r="BM41" s="17">
        <f t="shared" si="9"/>
        <v>-322521843.84679312</v>
      </c>
      <c r="BN41" s="17">
        <f t="shared" si="9"/>
        <v>-340442995.68956608</v>
      </c>
      <c r="BO41" s="20">
        <f t="shared" si="9"/>
        <v>-358800000</v>
      </c>
      <c r="BQ41" s="1"/>
      <c r="BR41" s="20">
        <v>0</v>
      </c>
      <c r="BS41" s="18">
        <f t="shared" si="10"/>
        <v>0.34159220146222585</v>
      </c>
      <c r="BT41" s="18">
        <f t="shared" si="6"/>
        <v>0.38671628039714145</v>
      </c>
      <c r="BU41" s="18">
        <f t="shared" si="6"/>
        <v>0.39358441341045358</v>
      </c>
      <c r="BV41" s="18">
        <f t="shared" si="6"/>
        <v>0.39465123071155617</v>
      </c>
      <c r="BW41" s="18">
        <f t="shared" si="6"/>
        <v>0.39481745705771343</v>
      </c>
      <c r="BX41" s="18">
        <f t="shared" si="6"/>
        <v>0.39484337025824812</v>
      </c>
      <c r="BY41" s="18">
        <f t="shared" si="6"/>
        <v>0.39484741020089803</v>
      </c>
      <c r="BZ41" s="18">
        <f t="shared" si="6"/>
        <v>0.39484804004704999</v>
      </c>
      <c r="CA41" s="18">
        <f t="shared" si="6"/>
        <v>0.3948481382432229</v>
      </c>
      <c r="CB41" s="18">
        <f t="shared" si="6"/>
        <v>0.39484815355250291</v>
      </c>
      <c r="CC41" s="18">
        <f t="shared" si="6"/>
        <v>0.39484815593929723</v>
      </c>
      <c r="CD41" s="18">
        <f t="shared" si="6"/>
        <v>0.39484815631141057</v>
      </c>
      <c r="CE41" s="18">
        <f t="shared" si="6"/>
        <v>0.39484815636942489</v>
      </c>
      <c r="CF41" s="18">
        <f t="shared" si="6"/>
        <v>0.39484815637846959</v>
      </c>
      <c r="CG41" s="18">
        <f t="shared" si="6"/>
        <v>0.39484815637987974</v>
      </c>
      <c r="CH41" s="18">
        <f t="shared" si="6"/>
        <v>0.39484815638009962</v>
      </c>
      <c r="CI41" s="18">
        <f t="shared" si="6"/>
        <v>0.39484815638013382</v>
      </c>
      <c r="CJ41" s="18">
        <f t="shared" si="6"/>
        <v>0.39484815638013915</v>
      </c>
      <c r="CK41" s="18">
        <f t="shared" si="6"/>
        <v>0.39484815638013998</v>
      </c>
      <c r="CL41" s="18">
        <f t="shared" si="6"/>
        <v>0.39484815638014015</v>
      </c>
      <c r="CM41" s="18">
        <f t="shared" si="6"/>
        <v>0.39484815638014015</v>
      </c>
      <c r="CN41" s="18">
        <f t="shared" si="6"/>
        <v>0.39484815638014015</v>
      </c>
      <c r="CO41" s="18">
        <f t="shared" si="6"/>
        <v>0.39484815638014015</v>
      </c>
      <c r="CP41" s="18">
        <f t="shared" si="6"/>
        <v>0.39484815638014015</v>
      </c>
      <c r="CQ41" s="18">
        <f t="shared" si="6"/>
        <v>0.39484815638014015</v>
      </c>
      <c r="CR41" s="18">
        <f t="shared" si="6"/>
        <v>0.39484815638014015</v>
      </c>
      <c r="CS41" s="18">
        <f t="shared" si="6"/>
        <v>0.39484815638014015</v>
      </c>
      <c r="CT41" s="18">
        <f t="shared" si="6"/>
        <v>0.39484815638014015</v>
      </c>
      <c r="CU41" s="20">
        <f t="shared" si="6"/>
        <v>0.39484815638014015</v>
      </c>
      <c r="CW41" s="1"/>
      <c r="CX41" s="20">
        <f t="shared" si="11"/>
        <v>300</v>
      </c>
      <c r="CY41" s="17">
        <f t="shared" si="12"/>
        <v>191.12220520712069</v>
      </c>
      <c r="CZ41" s="17">
        <f t="shared" si="7"/>
        <v>167.08416066015806</v>
      </c>
      <c r="DA41" s="17">
        <f t="shared" si="7"/>
        <v>153.41427937569912</v>
      </c>
      <c r="DB41" s="17">
        <f t="shared" si="7"/>
        <v>141.4341515574566</v>
      </c>
      <c r="DC41" s="17">
        <f t="shared" si="7"/>
        <v>130.01348790013139</v>
      </c>
      <c r="DD41" s="17">
        <f t="shared" si="7"/>
        <v>119.07009301423155</v>
      </c>
      <c r="DE41" s="17">
        <f t="shared" si="7"/>
        <v>108.66462108874114</v>
      </c>
      <c r="DF41" s="17">
        <f t="shared" si="7"/>
        <v>98.869835062786336</v>
      </c>
      <c r="DG41" s="17">
        <f t="shared" si="7"/>
        <v>89.75103948870472</v>
      </c>
      <c r="DH41" s="17">
        <f t="shared" si="7"/>
        <v>81.362732002828352</v>
      </c>
      <c r="DI41" s="17">
        <f t="shared" si="7"/>
        <v>73.747840397647579</v>
      </c>
      <c r="DJ41" s="17">
        <f t="shared" si="7"/>
        <v>66.937577557603078</v>
      </c>
      <c r="DK41" s="17">
        <f t="shared" si="7"/>
        <v>60.951606491251994</v>
      </c>
      <c r="DL41" s="17">
        <f t="shared" si="7"/>
        <v>55.798437008901175</v>
      </c>
      <c r="DM41" s="17">
        <f t="shared" si="7"/>
        <v>51.476003720168038</v>
      </c>
      <c r="DN41" s="17">
        <f t="shared" si="7"/>
        <v>47.972377565947021</v>
      </c>
      <c r="DO41" s="17">
        <f t="shared" si="7"/>
        <v>45.266564819406312</v>
      </c>
      <c r="DP41" s="17">
        <f t="shared" si="7"/>
        <v>43.329351469462139</v>
      </c>
      <c r="DQ41" s="17">
        <f t="shared" si="7"/>
        <v>42.124156982632407</v>
      </c>
      <c r="DR41" s="17">
        <f t="shared" si="7"/>
        <v>41.607868924208596</v>
      </c>
      <c r="DS41" s="17">
        <f t="shared" si="7"/>
        <v>41.731638012331942</v>
      </c>
      <c r="DT41" s="17">
        <f t="shared" si="7"/>
        <v>42.441621121626262</v>
      </c>
      <c r="DU41" s="17">
        <f t="shared" si="7"/>
        <v>43.679666903206027</v>
      </c>
      <c r="DV41" s="17">
        <f t="shared" si="7"/>
        <v>45.383944568490833</v>
      </c>
      <c r="DW41" s="17">
        <f t="shared" si="7"/>
        <v>47.489520716122811</v>
      </c>
      <c r="DX41" s="17">
        <f t="shared" si="7"/>
        <v>49.928891790416387</v>
      </c>
      <c r="DY41" s="17">
        <f t="shared" si="7"/>
        <v>52.632480962788357</v>
      </c>
      <c r="DZ41" s="17">
        <f t="shared" si="7"/>
        <v>55.529108197572739</v>
      </c>
      <c r="EA41" s="20">
        <f t="shared" si="7"/>
        <v>58.546441380896447</v>
      </c>
    </row>
    <row r="42" spans="5:131" x14ac:dyDescent="0.25">
      <c r="E42" s="1"/>
      <c r="F42" s="15">
        <v>300</v>
      </c>
      <c r="G42" s="16">
        <f t="shared" si="4"/>
        <v>279.99075248592408</v>
      </c>
      <c r="H42" s="16">
        <f t="shared" si="4"/>
        <v>260.15976623117001</v>
      </c>
      <c r="I42" s="16">
        <f t="shared" si="4"/>
        <v>240.68189080487446</v>
      </c>
      <c r="J42" s="16">
        <f t="shared" si="4"/>
        <v>221.72527278962002</v>
      </c>
      <c r="K42" s="16">
        <f t="shared" si="4"/>
        <v>203.44829810209535</v>
      </c>
      <c r="L42" s="16">
        <f t="shared" si="4"/>
        <v>185.99686738580431</v>
      </c>
      <c r="M42" s="16">
        <f t="shared" si="4"/>
        <v>169.50208465650368</v>
      </c>
      <c r="N42" s="16">
        <f t="shared" si="4"/>
        <v>154.07841610714513</v>
      </c>
      <c r="O42" s="16">
        <f t="shared" si="4"/>
        <v>139.82235048648133</v>
      </c>
      <c r="P42" s="16">
        <f t="shared" si="4"/>
        <v>126.81156664573955</v>
      </c>
      <c r="Q42" s="16">
        <f t="shared" si="4"/>
        <v>115.10458953398123</v>
      </c>
      <c r="R42" s="16">
        <f t="shared" si="4"/>
        <v>104.74089473192765</v>
      </c>
      <c r="S42" s="16">
        <f t="shared" ref="S42:S62" si="14">CE42*T42+DK42</f>
        <v>95.741404816158536</v>
      </c>
      <c r="T42" s="16">
        <f t="shared" ref="T42:T62" si="15">CF42*U42+DL42</f>
        <v>88.109309271680644</v>
      </c>
      <c r="U42" s="16">
        <f t="shared" ref="U42:U62" si="16">CG42*V42+DM42</f>
        <v>81.831133667011215</v>
      </c>
      <c r="V42" s="16">
        <f t="shared" ref="V42:V62" si="17">CH42*W42+DN42</f>
        <v>76.877983235760183</v>
      </c>
      <c r="W42" s="16">
        <f t="shared" ref="W42:W62" si="18">CI42*X42+DO42</f>
        <v>73.206890301362506</v>
      </c>
      <c r="X42" s="16">
        <f t="shared" ref="X42:X62" si="19">CJ42*Y42+DP42</f>
        <v>70.762203217829153</v>
      </c>
      <c r="Y42" s="16">
        <f t="shared" ref="Y42:Y62" si="20">CK42*Z42+DQ42</f>
        <v>69.476965524833588</v>
      </c>
      <c r="Z42" s="16">
        <f t="shared" ref="Z42:Z62" si="21">CL42*AA42+DR42</f>
        <v>69.274246568514556</v>
      </c>
      <c r="AA42" s="16">
        <f t="shared" ref="AA42:AA62" si="22">CM42*AB42+DS42</f>
        <v>70.068397679613767</v>
      </c>
      <c r="AB42" s="16">
        <f t="shared" ref="AB42:AB62" si="23">CN42*AC42+DT42</f>
        <v>71.766220025099031</v>
      </c>
      <c r="AC42" s="16">
        <f t="shared" ref="AC42:AC62" si="24">CO42*AD42+DU42</f>
        <v>74.268040586317241</v>
      </c>
      <c r="AD42" s="16">
        <f t="shared" ref="AD42:AD62" si="25">CP42*AE42+DV42</f>
        <v>77.468700787505455</v>
      </c>
      <c r="AE42" s="16">
        <f t="shared" ref="AE42:AE62" si="26">CQ42*AF42+DW42</f>
        <v>81.258467845358339</v>
      </c>
      <c r="AF42" s="16">
        <f t="shared" ref="AF42:AF62" si="27">CR42*AG42+DX42</f>
        <v>85.523881987496182</v>
      </c>
      <c r="AG42" s="16">
        <f t="shared" ref="AG42:AG62" si="28">CS42*AH42+DY42</f>
        <v>90.1485536197128</v>
      </c>
      <c r="AH42" s="16">
        <f t="shared" si="8"/>
        <v>95.013923835586723</v>
      </c>
      <c r="AI42" s="15">
        <v>100</v>
      </c>
      <c r="AK42" s="1"/>
      <c r="AL42" s="20">
        <f t="shared" si="13"/>
        <v>-1076400000</v>
      </c>
      <c r="AM42" s="17">
        <f t="shared" si="9"/>
        <v>-1003917198.4116828</v>
      </c>
      <c r="AN42" s="17">
        <f t="shared" si="9"/>
        <v>-932087196.68646336</v>
      </c>
      <c r="AO42" s="17">
        <f t="shared" si="9"/>
        <v>-861550087.78753603</v>
      </c>
      <c r="AP42" s="17">
        <f t="shared" si="9"/>
        <v>-792921010.59150159</v>
      </c>
      <c r="AQ42" s="17">
        <f t="shared" si="9"/>
        <v>-726778794.1832037</v>
      </c>
      <c r="AR42" s="17">
        <f t="shared" si="9"/>
        <v>-663655871.77779436</v>
      </c>
      <c r="AS42" s="17">
        <f t="shared" si="9"/>
        <v>-604029767.43101132</v>
      </c>
      <c r="AT42" s="17">
        <f t="shared" si="9"/>
        <v>-548316368.30248845</v>
      </c>
      <c r="AU42" s="17">
        <f t="shared" si="9"/>
        <v>-496865096.45168847</v>
      </c>
      <c r="AV42" s="17">
        <f t="shared" si="9"/>
        <v>-449955994.41316801</v>
      </c>
      <c r="AW42" s="17">
        <f t="shared" si="9"/>
        <v>-407798645.30460072</v>
      </c>
      <c r="AX42" s="17">
        <f t="shared" si="9"/>
        <v>-370532767.27507627</v>
      </c>
      <c r="AY42" s="17">
        <f t="shared" si="9"/>
        <v>-338230258.61559963</v>
      </c>
      <c r="AZ42" s="17">
        <f t="shared" si="9"/>
        <v>-310898426.98764718</v>
      </c>
      <c r="BA42" s="17">
        <f t="shared" si="9"/>
        <v>-288484115.21134984</v>
      </c>
      <c r="BB42" s="17">
        <f t="shared" si="9"/>
        <v>-270878436.2175805</v>
      </c>
      <c r="BC42" s="17">
        <f t="shared" si="9"/>
        <v>-257921848.72663504</v>
      </c>
      <c r="BD42" s="17">
        <f t="shared" si="9"/>
        <v>-249409339.23333654</v>
      </c>
      <c r="BE42" s="17">
        <f t="shared" si="9"/>
        <v>-245095520.31839612</v>
      </c>
      <c r="BF42" s="17">
        <f t="shared" si="9"/>
        <v>-244699505.14501601</v>
      </c>
      <c r="BG42" s="17">
        <f t="shared" si="9"/>
        <v>-247909468.33710834</v>
      </c>
      <c r="BH42" s="17">
        <f t="shared" si="9"/>
        <v>-254386849.95267084</v>
      </c>
      <c r="BI42" s="17">
        <f t="shared" si="9"/>
        <v>-263770198.59251842</v>
      </c>
      <c r="BJ42" s="17">
        <f t="shared" ref="BJ42:BJ62" si="29">-($C$10*$C$9*AD11)/$C$7</f>
        <v>-275678679.63987666</v>
      </c>
      <c r="BK42" s="17">
        <f t="shared" ref="BK42:BK62" si="30">-($C$10*$C$9*AE11)/$C$7</f>
        <v>-289715294.31888103</v>
      </c>
      <c r="BL42" s="17">
        <f t="shared" ref="BL42:BL62" si="31">-($C$10*$C$9*AF11)/$C$7</f>
        <v>-305469865.0450176</v>
      </c>
      <c r="BM42" s="17">
        <f t="shared" ref="BM42:BM62" si="32">-($C$10*$C$9*AG11)/$C$7</f>
        <v>-322521843.846793</v>
      </c>
      <c r="BN42" s="17">
        <f t="shared" ref="BN42:BN62" si="33">-($C$10*$C$9*AH11)/$C$7</f>
        <v>-340442995.68956596</v>
      </c>
      <c r="BO42" s="20">
        <f t="shared" ref="BO42:BO62" si="34">-($C$10*$C$9*AI11)/$C$7</f>
        <v>-358800000</v>
      </c>
      <c r="BQ42" s="1"/>
      <c r="BR42" s="20">
        <v>0</v>
      </c>
      <c r="BS42" s="18">
        <f t="shared" si="10"/>
        <v>0.34159220146222585</v>
      </c>
      <c r="BT42" s="18">
        <f t="shared" si="6"/>
        <v>0.38671628039714145</v>
      </c>
      <c r="BU42" s="18">
        <f t="shared" si="6"/>
        <v>0.39358441341045358</v>
      </c>
      <c r="BV42" s="18">
        <f t="shared" si="6"/>
        <v>0.39465123071155617</v>
      </c>
      <c r="BW42" s="18">
        <f t="shared" si="6"/>
        <v>0.39481745705771343</v>
      </c>
      <c r="BX42" s="18">
        <f t="shared" si="6"/>
        <v>0.39484337025824812</v>
      </c>
      <c r="BY42" s="18">
        <f t="shared" si="6"/>
        <v>0.39484741020089803</v>
      </c>
      <c r="BZ42" s="18">
        <f t="shared" si="6"/>
        <v>0.39484804004704999</v>
      </c>
      <c r="CA42" s="18">
        <f t="shared" si="6"/>
        <v>0.3948481382432229</v>
      </c>
      <c r="CB42" s="18">
        <f t="shared" si="6"/>
        <v>0.39484815355250291</v>
      </c>
      <c r="CC42" s="18">
        <f t="shared" si="6"/>
        <v>0.39484815593929723</v>
      </c>
      <c r="CD42" s="18">
        <f t="shared" si="6"/>
        <v>0.39484815631141057</v>
      </c>
      <c r="CE42" s="18">
        <f t="shared" si="6"/>
        <v>0.39484815636942489</v>
      </c>
      <c r="CF42" s="18">
        <f t="shared" si="6"/>
        <v>0.39484815637846959</v>
      </c>
      <c r="CG42" s="18">
        <f t="shared" si="6"/>
        <v>0.39484815637987974</v>
      </c>
      <c r="CH42" s="18">
        <f t="shared" si="6"/>
        <v>0.39484815638009962</v>
      </c>
      <c r="CI42" s="18">
        <f t="shared" si="6"/>
        <v>0.39484815638013382</v>
      </c>
      <c r="CJ42" s="18">
        <f t="shared" si="6"/>
        <v>0.39484815638013915</v>
      </c>
      <c r="CK42" s="18">
        <f t="shared" si="6"/>
        <v>0.39484815638013998</v>
      </c>
      <c r="CL42" s="18">
        <f t="shared" ref="BT42:CU51" si="35">$C$16/($C$17-($C$18*CK42))</f>
        <v>0.39484815638014015</v>
      </c>
      <c r="CM42" s="18">
        <f t="shared" si="35"/>
        <v>0.39484815638014015</v>
      </c>
      <c r="CN42" s="18">
        <f t="shared" si="35"/>
        <v>0.39484815638014015</v>
      </c>
      <c r="CO42" s="18">
        <f t="shared" si="35"/>
        <v>0.39484815638014015</v>
      </c>
      <c r="CP42" s="18">
        <f t="shared" si="35"/>
        <v>0.39484815638014015</v>
      </c>
      <c r="CQ42" s="18">
        <f t="shared" si="35"/>
        <v>0.39484815638014015</v>
      </c>
      <c r="CR42" s="18">
        <f t="shared" si="35"/>
        <v>0.39484815638014015</v>
      </c>
      <c r="CS42" s="18">
        <f t="shared" si="35"/>
        <v>0.39484815638014015</v>
      </c>
      <c r="CT42" s="18">
        <f t="shared" si="35"/>
        <v>0.39484815638014015</v>
      </c>
      <c r="CU42" s="20">
        <f t="shared" si="35"/>
        <v>0.39484815638014015</v>
      </c>
      <c r="CW42" s="1"/>
      <c r="CX42" s="20">
        <f t="shared" si="11"/>
        <v>300</v>
      </c>
      <c r="CY42" s="17">
        <f t="shared" si="12"/>
        <v>191.12220520712069</v>
      </c>
      <c r="CZ42" s="17">
        <f t="shared" si="7"/>
        <v>167.08416066015803</v>
      </c>
      <c r="DA42" s="17">
        <f t="shared" si="7"/>
        <v>153.41427937569907</v>
      </c>
      <c r="DB42" s="17">
        <f t="shared" si="7"/>
        <v>141.43415155745654</v>
      </c>
      <c r="DC42" s="17">
        <f t="shared" ref="DC42:DC62" si="36">(DB42*$C$18-AQ42)/($C$17-$C$18*BV42)</f>
        <v>130.01348790013134</v>
      </c>
      <c r="DD42" s="17">
        <f t="shared" ref="DD42:DD62" si="37">(DC42*$C$18-AR42)/($C$17-$C$18*BW42)</f>
        <v>119.07009301423149</v>
      </c>
      <c r="DE42" s="17">
        <f t="shared" ref="DE42:DE62" si="38">(DD42*$C$18-AS42)/($C$17-$C$18*BX42)</f>
        <v>108.6646210887411</v>
      </c>
      <c r="DF42" s="17">
        <f t="shared" ref="DF42:DF62" si="39">(DE42*$C$18-AT42)/($C$17-$C$18*BY42)</f>
        <v>98.869835062786308</v>
      </c>
      <c r="DG42" s="17">
        <f t="shared" ref="DG42:DG62" si="40">(DF42*$C$18-AU42)/($C$17-$C$18*BZ42)</f>
        <v>89.751039488704691</v>
      </c>
      <c r="DH42" s="17">
        <f t="shared" ref="DH42:DH62" si="41">(DG42*$C$18-AV42)/($C$17-$C$18*CA42)</f>
        <v>81.362732002828309</v>
      </c>
      <c r="DI42" s="17">
        <f t="shared" ref="DI42:DI62" si="42">(DH42*$C$18-AW42)/($C$17-$C$18*CB42)</f>
        <v>73.747840397647536</v>
      </c>
      <c r="DJ42" s="17">
        <f t="shared" ref="DJ42:DJ62" si="43">(DI42*$C$18-AX42)/($C$17-$C$18*CC42)</f>
        <v>66.937577557603049</v>
      </c>
      <c r="DK42" s="17">
        <f t="shared" ref="DK42:DK62" si="44">(DJ42*$C$18-AY42)/($C$17-$C$18*CD42)</f>
        <v>60.951606491251958</v>
      </c>
      <c r="DL42" s="17">
        <f t="shared" ref="DL42:DL62" si="45">(DK42*$C$18-AZ42)/($C$17-$C$18*CE42)</f>
        <v>55.798437008901146</v>
      </c>
      <c r="DM42" s="17">
        <f t="shared" ref="DM42:DM62" si="46">(DL42*$C$18-BA42)/($C$17-$C$18*CF42)</f>
        <v>51.476003720168009</v>
      </c>
      <c r="DN42" s="17">
        <f t="shared" ref="DN42:DN62" si="47">(DM42*$C$18-BB42)/($C$17-$C$18*CG42)</f>
        <v>47.972377565946999</v>
      </c>
      <c r="DO42" s="17">
        <f t="shared" ref="DO42:DO62" si="48">(DN42*$C$18-BC42)/($C$17-$C$18*CH42)</f>
        <v>45.266564819406291</v>
      </c>
      <c r="DP42" s="17">
        <f t="shared" ref="DP42:DP62" si="49">(DO42*$C$18-BD42)/($C$17-$C$18*CI42)</f>
        <v>43.329351469462118</v>
      </c>
      <c r="DQ42" s="17">
        <f t="shared" ref="DQ42:DQ62" si="50">(DP42*$C$18-BE42)/($C$17-$C$18*CJ42)</f>
        <v>42.124156982632378</v>
      </c>
      <c r="DR42" s="17">
        <f t="shared" ref="DR42:DR62" si="51">(DQ42*$C$18-BF42)/($C$17-$C$18*CK42)</f>
        <v>41.607868924208574</v>
      </c>
      <c r="DS42" s="17">
        <f t="shared" ref="DS42:DS62" si="52">(DR42*$C$18-BG42)/($C$17-$C$18*CL42)</f>
        <v>41.731638012331921</v>
      </c>
      <c r="DT42" s="17">
        <f t="shared" ref="DT42:DT62" si="53">(DS42*$C$18-BH42)/($C$17-$C$18*CM42)</f>
        <v>42.441621121626241</v>
      </c>
      <c r="DU42" s="17">
        <f t="shared" ref="DU42:DU62" si="54">(DT42*$C$18-BI42)/($C$17-$C$18*CN42)</f>
        <v>43.679666903206005</v>
      </c>
      <c r="DV42" s="17">
        <f t="shared" ref="DV42:DV62" si="55">(DU42*$C$18-BJ42)/($C$17-$C$18*CO42)</f>
        <v>45.383944568490818</v>
      </c>
      <c r="DW42" s="17">
        <f t="shared" ref="DW42:DW62" si="56">(DV42*$C$18-BK42)/($C$17-$C$18*CP42)</f>
        <v>47.489520716122797</v>
      </c>
      <c r="DX42" s="17">
        <f t="shared" ref="DX42:DX62" si="57">(DW42*$C$18-BL42)/($C$17-$C$18*CQ42)</f>
        <v>49.928891790416372</v>
      </c>
      <c r="DY42" s="17">
        <f t="shared" ref="DY42:DY62" si="58">(DX42*$C$18-BM42)/($C$17-$C$18*CR42)</f>
        <v>52.632480962788328</v>
      </c>
      <c r="DZ42" s="17">
        <f t="shared" ref="DZ42:DZ62" si="59">(DY42*$C$18-BN42)/($C$17-$C$18*CS42)</f>
        <v>55.529108197572718</v>
      </c>
      <c r="EA42" s="20">
        <f t="shared" ref="EA42:EA62" si="60">(DZ42*$C$18-BO42)/($C$17-$C$18*CT42)</f>
        <v>58.546441380896432</v>
      </c>
    </row>
    <row r="43" spans="5:131" x14ac:dyDescent="0.25">
      <c r="E43" s="1"/>
      <c r="F43" s="15">
        <v>300</v>
      </c>
      <c r="G43" s="16">
        <f t="shared" ref="G43:G62" si="61">BS43*H43+CY43</f>
        <v>279.99075248592408</v>
      </c>
      <c r="H43" s="16">
        <f t="shared" ref="H43:H62" si="62">BT43*I43+CZ43</f>
        <v>260.15976623117001</v>
      </c>
      <c r="I43" s="16">
        <f t="shared" ref="I43:I62" si="63">BU43*J43+DA43</f>
        <v>240.68189080487446</v>
      </c>
      <c r="J43" s="16">
        <f t="shared" ref="J43:J62" si="64">BV43*K43+DB43</f>
        <v>221.72527278962002</v>
      </c>
      <c r="K43" s="16">
        <f t="shared" ref="K43:K62" si="65">BW43*L43+DC43</f>
        <v>203.44829810209529</v>
      </c>
      <c r="L43" s="16">
        <f t="shared" ref="L43:L62" si="66">BX43*M43+DD43</f>
        <v>185.99686738580425</v>
      </c>
      <c r="M43" s="16">
        <f t="shared" ref="M43:M62" si="67">BY43*N43+DE43</f>
        <v>169.50208465650365</v>
      </c>
      <c r="N43" s="16">
        <f t="shared" ref="N43:N62" si="68">BZ43*O43+DF43</f>
        <v>154.07841610714513</v>
      </c>
      <c r="O43" s="16">
        <f t="shared" ref="O43:O62" si="69">CA43*P43+DG43</f>
        <v>139.8223504864813</v>
      </c>
      <c r="P43" s="16">
        <f t="shared" ref="P43:P62" si="70">CB43*Q43+DH43</f>
        <v>126.8115666457395</v>
      </c>
      <c r="Q43" s="16">
        <f t="shared" ref="Q43:Q62" si="71">CC43*R43+DI43</f>
        <v>115.10458953398118</v>
      </c>
      <c r="R43" s="16">
        <f t="shared" ref="R43:R62" si="72">CD43*S43+DJ43</f>
        <v>104.74089473192763</v>
      </c>
      <c r="S43" s="16">
        <f t="shared" si="14"/>
        <v>95.741404816158521</v>
      </c>
      <c r="T43" s="16">
        <f t="shared" si="15"/>
        <v>88.109309271680615</v>
      </c>
      <c r="U43" s="16">
        <f t="shared" si="16"/>
        <v>81.831133667011187</v>
      </c>
      <c r="V43" s="16">
        <f t="shared" si="17"/>
        <v>76.877983235760155</v>
      </c>
      <c r="W43" s="16">
        <f t="shared" si="18"/>
        <v>73.206890301362478</v>
      </c>
      <c r="X43" s="16">
        <f t="shared" si="19"/>
        <v>70.762203217829125</v>
      </c>
      <c r="Y43" s="16">
        <f t="shared" si="20"/>
        <v>69.476965524833574</v>
      </c>
      <c r="Z43" s="16">
        <f t="shared" si="21"/>
        <v>69.274246568514542</v>
      </c>
      <c r="AA43" s="16">
        <f t="shared" si="22"/>
        <v>70.068397679613753</v>
      </c>
      <c r="AB43" s="16">
        <f t="shared" si="23"/>
        <v>71.766220025099017</v>
      </c>
      <c r="AC43" s="16">
        <f t="shared" si="24"/>
        <v>74.268040586317227</v>
      </c>
      <c r="AD43" s="16">
        <f t="shared" si="25"/>
        <v>77.468700787505441</v>
      </c>
      <c r="AE43" s="16">
        <f t="shared" si="26"/>
        <v>81.258467845358339</v>
      </c>
      <c r="AF43" s="16">
        <f t="shared" si="27"/>
        <v>85.523881987496182</v>
      </c>
      <c r="AG43" s="16">
        <f t="shared" si="28"/>
        <v>90.1485536197128</v>
      </c>
      <c r="AH43" s="16">
        <f t="shared" si="8"/>
        <v>95.013923835586723</v>
      </c>
      <c r="AI43" s="15">
        <v>100</v>
      </c>
      <c r="AK43" s="1"/>
      <c r="AL43" s="20">
        <f t="shared" si="13"/>
        <v>-1076400000</v>
      </c>
      <c r="AM43" s="17">
        <f t="shared" ref="AM43:AM62" si="73">-($C$10*$C$9*G12)/$C$7</f>
        <v>-1003917198.4116828</v>
      </c>
      <c r="AN43" s="17">
        <f t="shared" ref="AN43:AN62" si="74">-($C$10*$C$9*H12)/$C$7</f>
        <v>-932087196.68646336</v>
      </c>
      <c r="AO43" s="17">
        <f t="shared" ref="AO43:AO62" si="75">-($C$10*$C$9*I12)/$C$7</f>
        <v>-861550087.78753603</v>
      </c>
      <c r="AP43" s="17">
        <f t="shared" ref="AP43:AP62" si="76">-($C$10*$C$9*J12)/$C$7</f>
        <v>-792921010.59150136</v>
      </c>
      <c r="AQ43" s="17">
        <f t="shared" ref="AQ43:AQ62" si="77">-($C$10*$C$9*K12)/$C$7</f>
        <v>-726778794.18320358</v>
      </c>
      <c r="AR43" s="17">
        <f t="shared" ref="AR43:AR62" si="78">-($C$10*$C$9*L12)/$C$7</f>
        <v>-663655871.77779424</v>
      </c>
      <c r="AS43" s="17">
        <f t="shared" ref="AS43:AS62" si="79">-($C$10*$C$9*M12)/$C$7</f>
        <v>-604029767.4310112</v>
      </c>
      <c r="AT43" s="17">
        <f t="shared" ref="AT43:AT62" si="80">-($C$10*$C$9*N12)/$C$7</f>
        <v>-548316368.30248833</v>
      </c>
      <c r="AU43" s="17">
        <f t="shared" ref="AU43:AU62" si="81">-($C$10*$C$9*O12)/$C$7</f>
        <v>-496865096.45168841</v>
      </c>
      <c r="AV43" s="17">
        <f t="shared" ref="AV43:AV62" si="82">-($C$10*$C$9*P12)/$C$7</f>
        <v>-449955994.41316795</v>
      </c>
      <c r="AW43" s="17">
        <f t="shared" ref="AW43:AW62" si="83">-($C$10*$C$9*Q12)/$C$7</f>
        <v>-407798645.30460066</v>
      </c>
      <c r="AX43" s="17">
        <f t="shared" ref="AX43:AX62" si="84">-($C$10*$C$9*R12)/$C$7</f>
        <v>-370532767.27507615</v>
      </c>
      <c r="AY43" s="17">
        <f t="shared" ref="AY43:AY62" si="85">-($C$10*$C$9*S12)/$C$7</f>
        <v>-338230258.61559963</v>
      </c>
      <c r="AZ43" s="17">
        <f t="shared" ref="AZ43:AZ62" si="86">-($C$10*$C$9*T12)/$C$7</f>
        <v>-310898426.98764706</v>
      </c>
      <c r="BA43" s="17">
        <f t="shared" ref="BA43:BA62" si="87">-($C$10*$C$9*U12)/$C$7</f>
        <v>-288484115.21134979</v>
      </c>
      <c r="BB43" s="17">
        <f t="shared" ref="BB43:BB62" si="88">-($C$10*$C$9*V12)/$C$7</f>
        <v>-270878436.21758038</v>
      </c>
      <c r="BC43" s="17">
        <f t="shared" ref="BC43:BC62" si="89">-($C$10*$C$9*W12)/$C$7</f>
        <v>-257921848.72663495</v>
      </c>
      <c r="BD43" s="17">
        <f t="shared" ref="BD43:BD62" si="90">-($C$10*$C$9*X12)/$C$7</f>
        <v>-249409339.23333642</v>
      </c>
      <c r="BE43" s="17">
        <f t="shared" ref="BE43:BE62" si="91">-($C$10*$C$9*Y12)/$C$7</f>
        <v>-245095520.31839606</v>
      </c>
      <c r="BF43" s="17">
        <f t="shared" ref="BF43:BF62" si="92">-($C$10*$C$9*Z12)/$C$7</f>
        <v>-244699505.14501595</v>
      </c>
      <c r="BG43" s="17">
        <f t="shared" ref="BG43:BG62" si="93">-($C$10*$C$9*AA12)/$C$7</f>
        <v>-247909468.33710831</v>
      </c>
      <c r="BH43" s="17">
        <f t="shared" ref="BH43:BH62" si="94">-($C$10*$C$9*AB12)/$C$7</f>
        <v>-254386849.95267081</v>
      </c>
      <c r="BI43" s="17">
        <f t="shared" ref="BI43:BI62" si="95">-($C$10*$C$9*AC12)/$C$7</f>
        <v>-263770198.59251836</v>
      </c>
      <c r="BJ43" s="17">
        <f t="shared" si="29"/>
        <v>-275678679.6398766</v>
      </c>
      <c r="BK43" s="17">
        <f t="shared" si="30"/>
        <v>-289715294.31888103</v>
      </c>
      <c r="BL43" s="17">
        <f t="shared" si="31"/>
        <v>-305469865.0450176</v>
      </c>
      <c r="BM43" s="17">
        <f t="shared" si="32"/>
        <v>-322521843.846793</v>
      </c>
      <c r="BN43" s="17">
        <f t="shared" si="33"/>
        <v>-340442995.6895659</v>
      </c>
      <c r="BO43" s="20">
        <f t="shared" si="34"/>
        <v>-358800000</v>
      </c>
      <c r="BQ43" s="1"/>
      <c r="BR43" s="20">
        <v>0</v>
      </c>
      <c r="BS43" s="18">
        <f t="shared" si="10"/>
        <v>0.34159220146222585</v>
      </c>
      <c r="BT43" s="18">
        <f t="shared" si="35"/>
        <v>0.38671628039714145</v>
      </c>
      <c r="BU43" s="18">
        <f t="shared" si="35"/>
        <v>0.39358441341045358</v>
      </c>
      <c r="BV43" s="18">
        <f t="shared" si="35"/>
        <v>0.39465123071155617</v>
      </c>
      <c r="BW43" s="18">
        <f t="shared" si="35"/>
        <v>0.39481745705771343</v>
      </c>
      <c r="BX43" s="18">
        <f t="shared" si="35"/>
        <v>0.39484337025824812</v>
      </c>
      <c r="BY43" s="18">
        <f t="shared" si="35"/>
        <v>0.39484741020089803</v>
      </c>
      <c r="BZ43" s="18">
        <f t="shared" si="35"/>
        <v>0.39484804004704999</v>
      </c>
      <c r="CA43" s="18">
        <f t="shared" si="35"/>
        <v>0.3948481382432229</v>
      </c>
      <c r="CB43" s="18">
        <f t="shared" si="35"/>
        <v>0.39484815355250291</v>
      </c>
      <c r="CC43" s="18">
        <f t="shared" si="35"/>
        <v>0.39484815593929723</v>
      </c>
      <c r="CD43" s="18">
        <f t="shared" si="35"/>
        <v>0.39484815631141057</v>
      </c>
      <c r="CE43" s="18">
        <f t="shared" si="35"/>
        <v>0.39484815636942489</v>
      </c>
      <c r="CF43" s="18">
        <f t="shared" si="35"/>
        <v>0.39484815637846959</v>
      </c>
      <c r="CG43" s="18">
        <f t="shared" si="35"/>
        <v>0.39484815637987974</v>
      </c>
      <c r="CH43" s="18">
        <f t="shared" si="35"/>
        <v>0.39484815638009962</v>
      </c>
      <c r="CI43" s="18">
        <f t="shared" si="35"/>
        <v>0.39484815638013382</v>
      </c>
      <c r="CJ43" s="18">
        <f t="shared" si="35"/>
        <v>0.39484815638013915</v>
      </c>
      <c r="CK43" s="18">
        <f t="shared" si="35"/>
        <v>0.39484815638013998</v>
      </c>
      <c r="CL43" s="18">
        <f t="shared" si="35"/>
        <v>0.39484815638014015</v>
      </c>
      <c r="CM43" s="18">
        <f t="shared" si="35"/>
        <v>0.39484815638014015</v>
      </c>
      <c r="CN43" s="18">
        <f t="shared" si="35"/>
        <v>0.39484815638014015</v>
      </c>
      <c r="CO43" s="18">
        <f t="shared" si="35"/>
        <v>0.39484815638014015</v>
      </c>
      <c r="CP43" s="18">
        <f t="shared" si="35"/>
        <v>0.39484815638014015</v>
      </c>
      <c r="CQ43" s="18">
        <f t="shared" si="35"/>
        <v>0.39484815638014015</v>
      </c>
      <c r="CR43" s="18">
        <f t="shared" si="35"/>
        <v>0.39484815638014015</v>
      </c>
      <c r="CS43" s="18">
        <f t="shared" si="35"/>
        <v>0.39484815638014015</v>
      </c>
      <c r="CT43" s="18">
        <f t="shared" si="35"/>
        <v>0.39484815638014015</v>
      </c>
      <c r="CU43" s="20">
        <f t="shared" si="35"/>
        <v>0.39484815638014015</v>
      </c>
      <c r="CW43" s="1"/>
      <c r="CX43" s="20">
        <f t="shared" si="11"/>
        <v>300</v>
      </c>
      <c r="CY43" s="17">
        <f t="shared" si="12"/>
        <v>191.12220520712069</v>
      </c>
      <c r="CZ43" s="17">
        <f t="shared" ref="CZ43:CZ62" si="96">(CY43*$C$18-AN43)/($C$17-$C$18*BS43)</f>
        <v>167.08416066015803</v>
      </c>
      <c r="DA43" s="17">
        <f t="shared" ref="DA43:DA62" si="97">(CZ43*$C$18-AO43)/($C$17-$C$18*BT43)</f>
        <v>153.41427937569907</v>
      </c>
      <c r="DB43" s="17">
        <f t="shared" ref="DB43:DB62" si="98">(DA43*$C$18-AP43)/($C$17-$C$18*BU43)</f>
        <v>141.43415155745654</v>
      </c>
      <c r="DC43" s="17">
        <f t="shared" si="36"/>
        <v>130.01348790013131</v>
      </c>
      <c r="DD43" s="17">
        <f t="shared" si="37"/>
        <v>119.07009301423147</v>
      </c>
      <c r="DE43" s="17">
        <f t="shared" si="38"/>
        <v>108.66462108874107</v>
      </c>
      <c r="DF43" s="17">
        <f t="shared" si="39"/>
        <v>98.869835062786294</v>
      </c>
      <c r="DG43" s="17">
        <f t="shared" si="40"/>
        <v>89.751039488704663</v>
      </c>
      <c r="DH43" s="17">
        <f t="shared" si="41"/>
        <v>81.362732002828281</v>
      </c>
      <c r="DI43" s="17">
        <f t="shared" si="42"/>
        <v>73.747840397647508</v>
      </c>
      <c r="DJ43" s="17">
        <f t="shared" si="43"/>
        <v>66.937577557603021</v>
      </c>
      <c r="DK43" s="17">
        <f t="shared" si="44"/>
        <v>60.951606491251958</v>
      </c>
      <c r="DL43" s="17">
        <f t="shared" si="45"/>
        <v>55.798437008901139</v>
      </c>
      <c r="DM43" s="17">
        <f t="shared" si="46"/>
        <v>51.476003720167995</v>
      </c>
      <c r="DN43" s="17">
        <f t="shared" si="47"/>
        <v>47.972377565946978</v>
      </c>
      <c r="DO43" s="17">
        <f t="shared" si="48"/>
        <v>45.266564819406277</v>
      </c>
      <c r="DP43" s="17">
        <f t="shared" si="49"/>
        <v>43.329351469462104</v>
      </c>
      <c r="DQ43" s="17">
        <f t="shared" si="50"/>
        <v>42.124156982632364</v>
      </c>
      <c r="DR43" s="17">
        <f t="shared" si="51"/>
        <v>41.60786892420856</v>
      </c>
      <c r="DS43" s="17">
        <f t="shared" si="52"/>
        <v>41.731638012331906</v>
      </c>
      <c r="DT43" s="17">
        <f t="shared" si="53"/>
        <v>42.441621121626234</v>
      </c>
      <c r="DU43" s="17">
        <f t="shared" si="54"/>
        <v>43.679666903205998</v>
      </c>
      <c r="DV43" s="17">
        <f t="shared" si="55"/>
        <v>45.383944568490804</v>
      </c>
      <c r="DW43" s="17">
        <f t="shared" si="56"/>
        <v>47.489520716122797</v>
      </c>
      <c r="DX43" s="17">
        <f t="shared" si="57"/>
        <v>49.928891790416372</v>
      </c>
      <c r="DY43" s="17">
        <f t="shared" si="58"/>
        <v>52.632480962788328</v>
      </c>
      <c r="DZ43" s="17">
        <f t="shared" si="59"/>
        <v>55.529108197572704</v>
      </c>
      <c r="EA43" s="20">
        <f t="shared" si="60"/>
        <v>58.546441380896432</v>
      </c>
    </row>
    <row r="44" spans="5:131" x14ac:dyDescent="0.25">
      <c r="E44" s="1"/>
      <c r="F44" s="15">
        <v>300</v>
      </c>
      <c r="G44" s="16">
        <f t="shared" si="61"/>
        <v>279.99075248592408</v>
      </c>
      <c r="H44" s="16">
        <f t="shared" si="62"/>
        <v>260.15976623117001</v>
      </c>
      <c r="I44" s="16">
        <f t="shared" si="63"/>
        <v>240.68189080487446</v>
      </c>
      <c r="J44" s="16">
        <f t="shared" si="64"/>
        <v>221.72527278962002</v>
      </c>
      <c r="K44" s="16">
        <f t="shared" si="65"/>
        <v>203.44829810209529</v>
      </c>
      <c r="L44" s="16">
        <f t="shared" si="66"/>
        <v>185.99686738580422</v>
      </c>
      <c r="M44" s="16">
        <f t="shared" si="67"/>
        <v>169.50208465650363</v>
      </c>
      <c r="N44" s="16">
        <f t="shared" si="68"/>
        <v>154.07841610714507</v>
      </c>
      <c r="O44" s="16">
        <f t="shared" si="69"/>
        <v>139.82235048648127</v>
      </c>
      <c r="P44" s="16">
        <f t="shared" si="70"/>
        <v>126.81156664573949</v>
      </c>
      <c r="Q44" s="16">
        <f t="shared" si="71"/>
        <v>115.10458953398116</v>
      </c>
      <c r="R44" s="16">
        <f t="shared" si="72"/>
        <v>104.7408947319276</v>
      </c>
      <c r="S44" s="16">
        <f t="shared" si="14"/>
        <v>95.741404816158479</v>
      </c>
      <c r="T44" s="16">
        <f t="shared" si="15"/>
        <v>88.109309271680587</v>
      </c>
      <c r="U44" s="16">
        <f t="shared" si="16"/>
        <v>81.831133667011159</v>
      </c>
      <c r="V44" s="16">
        <f t="shared" si="17"/>
        <v>76.877983235760126</v>
      </c>
      <c r="W44" s="16">
        <f t="shared" si="18"/>
        <v>73.206890301362463</v>
      </c>
      <c r="X44" s="16">
        <f t="shared" si="19"/>
        <v>70.762203217829097</v>
      </c>
      <c r="Y44" s="16">
        <f t="shared" si="20"/>
        <v>69.476965524833545</v>
      </c>
      <c r="Z44" s="16">
        <f t="shared" si="21"/>
        <v>69.274246568514513</v>
      </c>
      <c r="AA44" s="16">
        <f t="shared" si="22"/>
        <v>70.068397679613724</v>
      </c>
      <c r="AB44" s="16">
        <f t="shared" si="23"/>
        <v>71.766220025099003</v>
      </c>
      <c r="AC44" s="16">
        <f t="shared" si="24"/>
        <v>74.268040586317227</v>
      </c>
      <c r="AD44" s="16">
        <f t="shared" si="25"/>
        <v>77.468700787505441</v>
      </c>
      <c r="AE44" s="16">
        <f t="shared" si="26"/>
        <v>81.258467845358325</v>
      </c>
      <c r="AF44" s="16">
        <f t="shared" si="27"/>
        <v>85.523881987496168</v>
      </c>
      <c r="AG44" s="16">
        <f t="shared" si="28"/>
        <v>90.1485536197128</v>
      </c>
      <c r="AH44" s="16">
        <f t="shared" si="8"/>
        <v>95.013923835586723</v>
      </c>
      <c r="AI44" s="15">
        <v>100</v>
      </c>
      <c r="AK44" s="1"/>
      <c r="AL44" s="20">
        <f t="shared" si="13"/>
        <v>-1076400000</v>
      </c>
      <c r="AM44" s="17">
        <f t="shared" si="73"/>
        <v>-1003917198.4116831</v>
      </c>
      <c r="AN44" s="17">
        <f t="shared" si="74"/>
        <v>-932087196.68646336</v>
      </c>
      <c r="AO44" s="17">
        <f t="shared" si="75"/>
        <v>-861550087.78753591</v>
      </c>
      <c r="AP44" s="17">
        <f t="shared" si="76"/>
        <v>-792921010.59150136</v>
      </c>
      <c r="AQ44" s="17">
        <f t="shared" si="77"/>
        <v>-726778794.18320346</v>
      </c>
      <c r="AR44" s="17">
        <f t="shared" si="78"/>
        <v>-663655871.77779412</v>
      </c>
      <c r="AS44" s="17">
        <f t="shared" si="79"/>
        <v>-604029767.43101108</v>
      </c>
      <c r="AT44" s="17">
        <f t="shared" si="80"/>
        <v>-548316368.30248821</v>
      </c>
      <c r="AU44" s="17">
        <f t="shared" si="81"/>
        <v>-496865096.45168829</v>
      </c>
      <c r="AV44" s="17">
        <f t="shared" si="82"/>
        <v>-449955994.41316789</v>
      </c>
      <c r="AW44" s="17">
        <f t="shared" si="83"/>
        <v>-407798645.30460054</v>
      </c>
      <c r="AX44" s="17">
        <f t="shared" si="84"/>
        <v>-370532767.27507609</v>
      </c>
      <c r="AY44" s="17">
        <f t="shared" si="85"/>
        <v>-338230258.61559957</v>
      </c>
      <c r="AZ44" s="17">
        <f t="shared" si="86"/>
        <v>-310898426.98764694</v>
      </c>
      <c r="BA44" s="17">
        <f t="shared" si="87"/>
        <v>-288484115.21134967</v>
      </c>
      <c r="BB44" s="17">
        <f t="shared" si="88"/>
        <v>-270878436.21758032</v>
      </c>
      <c r="BC44" s="17">
        <f t="shared" si="89"/>
        <v>-257921848.72663489</v>
      </c>
      <c r="BD44" s="17">
        <f t="shared" si="90"/>
        <v>-249409339.23333633</v>
      </c>
      <c r="BE44" s="17">
        <f t="shared" si="91"/>
        <v>-245095520.318396</v>
      </c>
      <c r="BF44" s="17">
        <f t="shared" si="92"/>
        <v>-244699505.1450159</v>
      </c>
      <c r="BG44" s="17">
        <f t="shared" si="93"/>
        <v>-247909468.33710819</v>
      </c>
      <c r="BH44" s="17">
        <f t="shared" si="94"/>
        <v>-254386849.95267075</v>
      </c>
      <c r="BI44" s="17">
        <f t="shared" si="95"/>
        <v>-263770198.5925183</v>
      </c>
      <c r="BJ44" s="17">
        <f t="shared" si="29"/>
        <v>-275678679.6398766</v>
      </c>
      <c r="BK44" s="17">
        <f t="shared" si="30"/>
        <v>-289715294.31888098</v>
      </c>
      <c r="BL44" s="17">
        <f t="shared" si="31"/>
        <v>-305469865.0450176</v>
      </c>
      <c r="BM44" s="17">
        <f t="shared" si="32"/>
        <v>-322521843.846793</v>
      </c>
      <c r="BN44" s="17">
        <f t="shared" si="33"/>
        <v>-340442995.6895659</v>
      </c>
      <c r="BO44" s="20">
        <f t="shared" si="34"/>
        <v>-358800000</v>
      </c>
      <c r="BQ44" s="1"/>
      <c r="BR44" s="20">
        <v>0</v>
      </c>
      <c r="BS44" s="18">
        <f t="shared" si="10"/>
        <v>0.34159220146222585</v>
      </c>
      <c r="BT44" s="18">
        <f t="shared" si="35"/>
        <v>0.38671628039714145</v>
      </c>
      <c r="BU44" s="18">
        <f t="shared" si="35"/>
        <v>0.39358441341045358</v>
      </c>
      <c r="BV44" s="18">
        <f t="shared" si="35"/>
        <v>0.39465123071155617</v>
      </c>
      <c r="BW44" s="18">
        <f t="shared" si="35"/>
        <v>0.39481745705771343</v>
      </c>
      <c r="BX44" s="18">
        <f t="shared" si="35"/>
        <v>0.39484337025824812</v>
      </c>
      <c r="BY44" s="18">
        <f t="shared" si="35"/>
        <v>0.39484741020089803</v>
      </c>
      <c r="BZ44" s="18">
        <f t="shared" si="35"/>
        <v>0.39484804004704999</v>
      </c>
      <c r="CA44" s="18">
        <f t="shared" si="35"/>
        <v>0.3948481382432229</v>
      </c>
      <c r="CB44" s="18">
        <f t="shared" si="35"/>
        <v>0.39484815355250291</v>
      </c>
      <c r="CC44" s="18">
        <f t="shared" si="35"/>
        <v>0.39484815593929723</v>
      </c>
      <c r="CD44" s="18">
        <f t="shared" si="35"/>
        <v>0.39484815631141057</v>
      </c>
      <c r="CE44" s="18">
        <f t="shared" si="35"/>
        <v>0.39484815636942489</v>
      </c>
      <c r="CF44" s="18">
        <f t="shared" si="35"/>
        <v>0.39484815637846959</v>
      </c>
      <c r="CG44" s="18">
        <f t="shared" si="35"/>
        <v>0.39484815637987974</v>
      </c>
      <c r="CH44" s="18">
        <f t="shared" si="35"/>
        <v>0.39484815638009962</v>
      </c>
      <c r="CI44" s="18">
        <f t="shared" si="35"/>
        <v>0.39484815638013382</v>
      </c>
      <c r="CJ44" s="18">
        <f t="shared" si="35"/>
        <v>0.39484815638013915</v>
      </c>
      <c r="CK44" s="18">
        <f t="shared" si="35"/>
        <v>0.39484815638013998</v>
      </c>
      <c r="CL44" s="18">
        <f t="shared" si="35"/>
        <v>0.39484815638014015</v>
      </c>
      <c r="CM44" s="18">
        <f t="shared" si="35"/>
        <v>0.39484815638014015</v>
      </c>
      <c r="CN44" s="18">
        <f t="shared" si="35"/>
        <v>0.39484815638014015</v>
      </c>
      <c r="CO44" s="18">
        <f t="shared" si="35"/>
        <v>0.39484815638014015</v>
      </c>
      <c r="CP44" s="18">
        <f t="shared" si="35"/>
        <v>0.39484815638014015</v>
      </c>
      <c r="CQ44" s="18">
        <f t="shared" si="35"/>
        <v>0.39484815638014015</v>
      </c>
      <c r="CR44" s="18">
        <f t="shared" si="35"/>
        <v>0.39484815638014015</v>
      </c>
      <c r="CS44" s="18">
        <f t="shared" si="35"/>
        <v>0.39484815638014015</v>
      </c>
      <c r="CT44" s="18">
        <f t="shared" si="35"/>
        <v>0.39484815638014015</v>
      </c>
      <c r="CU44" s="20">
        <f t="shared" si="35"/>
        <v>0.39484815638014015</v>
      </c>
      <c r="CW44" s="1"/>
      <c r="CX44" s="20">
        <f t="shared" si="11"/>
        <v>300</v>
      </c>
      <c r="CY44" s="17">
        <f t="shared" si="12"/>
        <v>191.12220520712069</v>
      </c>
      <c r="CZ44" s="17">
        <f t="shared" si="96"/>
        <v>167.08416066015803</v>
      </c>
      <c r="DA44" s="17">
        <f t="shared" si="97"/>
        <v>153.41427937569907</v>
      </c>
      <c r="DB44" s="17">
        <f t="shared" si="98"/>
        <v>141.43415155745654</v>
      </c>
      <c r="DC44" s="17">
        <f t="shared" si="36"/>
        <v>130.01348790013131</v>
      </c>
      <c r="DD44" s="17">
        <f t="shared" si="37"/>
        <v>119.07009301423145</v>
      </c>
      <c r="DE44" s="17">
        <f t="shared" si="38"/>
        <v>108.66462108874106</v>
      </c>
      <c r="DF44" s="17">
        <f t="shared" si="39"/>
        <v>98.869835062786265</v>
      </c>
      <c r="DG44" s="17">
        <f t="shared" si="40"/>
        <v>89.751039488704649</v>
      </c>
      <c r="DH44" s="17">
        <f t="shared" si="41"/>
        <v>81.362732002828281</v>
      </c>
      <c r="DI44" s="17">
        <f t="shared" si="42"/>
        <v>73.747840397647494</v>
      </c>
      <c r="DJ44" s="17">
        <f t="shared" si="43"/>
        <v>66.937577557603007</v>
      </c>
      <c r="DK44" s="17">
        <f t="shared" si="44"/>
        <v>60.95160649125193</v>
      </c>
      <c r="DL44" s="17">
        <f t="shared" si="45"/>
        <v>55.798437008901111</v>
      </c>
      <c r="DM44" s="17">
        <f t="shared" si="46"/>
        <v>51.476003720167974</v>
      </c>
      <c r="DN44" s="17">
        <f t="shared" si="47"/>
        <v>47.972377565946957</v>
      </c>
      <c r="DO44" s="17">
        <f t="shared" si="48"/>
        <v>45.26656481940627</v>
      </c>
      <c r="DP44" s="17">
        <f t="shared" si="49"/>
        <v>43.32935146946209</v>
      </c>
      <c r="DQ44" s="17">
        <f t="shared" si="50"/>
        <v>42.12415698263235</v>
      </c>
      <c r="DR44" s="17">
        <f t="shared" si="51"/>
        <v>41.607868924208546</v>
      </c>
      <c r="DS44" s="17">
        <f t="shared" si="52"/>
        <v>41.731638012331892</v>
      </c>
      <c r="DT44" s="17">
        <f t="shared" si="53"/>
        <v>42.44162112162622</v>
      </c>
      <c r="DU44" s="17">
        <f t="shared" si="54"/>
        <v>43.679666903205984</v>
      </c>
      <c r="DV44" s="17">
        <f t="shared" si="55"/>
        <v>45.383944568490797</v>
      </c>
      <c r="DW44" s="17">
        <f t="shared" si="56"/>
        <v>47.489520716122783</v>
      </c>
      <c r="DX44" s="17">
        <f t="shared" si="57"/>
        <v>49.928891790416365</v>
      </c>
      <c r="DY44" s="17">
        <f t="shared" si="58"/>
        <v>52.632480962788328</v>
      </c>
      <c r="DZ44" s="17">
        <f t="shared" si="59"/>
        <v>55.529108197572704</v>
      </c>
      <c r="EA44" s="20">
        <f t="shared" si="60"/>
        <v>58.546441380896432</v>
      </c>
    </row>
    <row r="45" spans="5:131" x14ac:dyDescent="0.25">
      <c r="E45" s="1"/>
      <c r="F45" s="15">
        <v>300</v>
      </c>
      <c r="G45" s="16">
        <f t="shared" si="61"/>
        <v>279.99075248592408</v>
      </c>
      <c r="H45" s="16">
        <f t="shared" si="62"/>
        <v>260.15976623117001</v>
      </c>
      <c r="I45" s="16">
        <f t="shared" si="63"/>
        <v>240.6818908048744</v>
      </c>
      <c r="J45" s="16">
        <f t="shared" si="64"/>
        <v>221.72527278961994</v>
      </c>
      <c r="K45" s="16">
        <f t="shared" si="65"/>
        <v>203.44829810209524</v>
      </c>
      <c r="L45" s="16">
        <f t="shared" si="66"/>
        <v>185.99686738580419</v>
      </c>
      <c r="M45" s="16">
        <f t="shared" si="67"/>
        <v>169.5020846565036</v>
      </c>
      <c r="N45" s="16">
        <f t="shared" si="68"/>
        <v>154.07841610714505</v>
      </c>
      <c r="O45" s="16">
        <f t="shared" si="69"/>
        <v>139.82235048648124</v>
      </c>
      <c r="P45" s="16">
        <f t="shared" si="70"/>
        <v>126.81156664573945</v>
      </c>
      <c r="Q45" s="16">
        <f t="shared" si="71"/>
        <v>115.10458953398114</v>
      </c>
      <c r="R45" s="16">
        <f t="shared" si="72"/>
        <v>104.7408947319276</v>
      </c>
      <c r="S45" s="16">
        <f t="shared" si="14"/>
        <v>95.741404816158479</v>
      </c>
      <c r="T45" s="16">
        <f t="shared" si="15"/>
        <v>88.109309271680559</v>
      </c>
      <c r="U45" s="16">
        <f t="shared" si="16"/>
        <v>81.831133667011144</v>
      </c>
      <c r="V45" s="16">
        <f t="shared" si="17"/>
        <v>76.877983235760112</v>
      </c>
      <c r="W45" s="16">
        <f t="shared" si="18"/>
        <v>73.206890301362449</v>
      </c>
      <c r="X45" s="16">
        <f t="shared" si="19"/>
        <v>70.762203217829082</v>
      </c>
      <c r="Y45" s="16">
        <f t="shared" si="20"/>
        <v>69.476965524833531</v>
      </c>
      <c r="Z45" s="16">
        <f t="shared" si="21"/>
        <v>69.274246568514499</v>
      </c>
      <c r="AA45" s="16">
        <f t="shared" si="22"/>
        <v>70.068397679613724</v>
      </c>
      <c r="AB45" s="16">
        <f t="shared" si="23"/>
        <v>71.766220025098988</v>
      </c>
      <c r="AC45" s="16">
        <f t="shared" si="24"/>
        <v>74.268040586317198</v>
      </c>
      <c r="AD45" s="16">
        <f t="shared" si="25"/>
        <v>77.468700787505412</v>
      </c>
      <c r="AE45" s="16">
        <f t="shared" si="26"/>
        <v>81.258467845358311</v>
      </c>
      <c r="AF45" s="16">
        <f t="shared" si="27"/>
        <v>85.523881987496168</v>
      </c>
      <c r="AG45" s="16">
        <f t="shared" si="28"/>
        <v>90.1485536197128</v>
      </c>
      <c r="AH45" s="16">
        <f t="shared" si="8"/>
        <v>95.013923835586723</v>
      </c>
      <c r="AI45" s="15">
        <v>100</v>
      </c>
      <c r="AK45" s="1"/>
      <c r="AL45" s="20">
        <f t="shared" si="13"/>
        <v>-1076400000</v>
      </c>
      <c r="AM45" s="17">
        <f t="shared" si="73"/>
        <v>-1003917198.4116828</v>
      </c>
      <c r="AN45" s="17">
        <f t="shared" si="74"/>
        <v>-932087196.68646336</v>
      </c>
      <c r="AO45" s="17">
        <f t="shared" si="75"/>
        <v>-861550087.78753579</v>
      </c>
      <c r="AP45" s="17">
        <f t="shared" si="76"/>
        <v>-792921010.59150124</v>
      </c>
      <c r="AQ45" s="17">
        <f t="shared" si="77"/>
        <v>-726778794.18320334</v>
      </c>
      <c r="AR45" s="17">
        <f t="shared" si="78"/>
        <v>-663655871.77779412</v>
      </c>
      <c r="AS45" s="17">
        <f t="shared" si="79"/>
        <v>-604029767.43101096</v>
      </c>
      <c r="AT45" s="17">
        <f t="shared" si="80"/>
        <v>-548316368.30248797</v>
      </c>
      <c r="AU45" s="17">
        <f t="shared" si="81"/>
        <v>-496865096.45168817</v>
      </c>
      <c r="AV45" s="17">
        <f t="shared" si="82"/>
        <v>-449955994.41316772</v>
      </c>
      <c r="AW45" s="17">
        <f t="shared" si="83"/>
        <v>-407798645.30460042</v>
      </c>
      <c r="AX45" s="17">
        <f t="shared" si="84"/>
        <v>-370532767.27507609</v>
      </c>
      <c r="AY45" s="17">
        <f t="shared" si="85"/>
        <v>-338230258.61559945</v>
      </c>
      <c r="AZ45" s="17">
        <f t="shared" si="86"/>
        <v>-310898426.98764682</v>
      </c>
      <c r="BA45" s="17">
        <f t="shared" si="87"/>
        <v>-288484115.21134955</v>
      </c>
      <c r="BB45" s="17">
        <f t="shared" si="88"/>
        <v>-270878436.21758032</v>
      </c>
      <c r="BC45" s="17">
        <f t="shared" si="89"/>
        <v>-257921848.72663483</v>
      </c>
      <c r="BD45" s="17">
        <f t="shared" si="90"/>
        <v>-249409339.23333627</v>
      </c>
      <c r="BE45" s="17">
        <f t="shared" si="91"/>
        <v>-245095520.31839597</v>
      </c>
      <c r="BF45" s="17">
        <f t="shared" si="92"/>
        <v>-244699505.14501581</v>
      </c>
      <c r="BG45" s="17">
        <f t="shared" si="93"/>
        <v>-247909468.33710817</v>
      </c>
      <c r="BH45" s="17">
        <f t="shared" si="94"/>
        <v>-254386849.95267069</v>
      </c>
      <c r="BI45" s="17">
        <f t="shared" si="95"/>
        <v>-263770198.59251827</v>
      </c>
      <c r="BJ45" s="17">
        <f t="shared" si="29"/>
        <v>-275678679.63987654</v>
      </c>
      <c r="BK45" s="17">
        <f t="shared" si="30"/>
        <v>-289715294.31888092</v>
      </c>
      <c r="BL45" s="17">
        <f t="shared" si="31"/>
        <v>-305469865.04501748</v>
      </c>
      <c r="BM45" s="17">
        <f t="shared" si="32"/>
        <v>-322521843.846793</v>
      </c>
      <c r="BN45" s="17">
        <f t="shared" si="33"/>
        <v>-340442995.6895659</v>
      </c>
      <c r="BO45" s="20">
        <f t="shared" si="34"/>
        <v>-358800000</v>
      </c>
      <c r="BQ45" s="1"/>
      <c r="BR45" s="20">
        <v>0</v>
      </c>
      <c r="BS45" s="18">
        <f t="shared" si="10"/>
        <v>0.34159220146222585</v>
      </c>
      <c r="BT45" s="18">
        <f t="shared" si="35"/>
        <v>0.38671628039714145</v>
      </c>
      <c r="BU45" s="18">
        <f t="shared" si="35"/>
        <v>0.39358441341045358</v>
      </c>
      <c r="BV45" s="18">
        <f t="shared" si="35"/>
        <v>0.39465123071155617</v>
      </c>
      <c r="BW45" s="18">
        <f t="shared" si="35"/>
        <v>0.39481745705771343</v>
      </c>
      <c r="BX45" s="18">
        <f t="shared" si="35"/>
        <v>0.39484337025824812</v>
      </c>
      <c r="BY45" s="18">
        <f t="shared" si="35"/>
        <v>0.39484741020089803</v>
      </c>
      <c r="BZ45" s="18">
        <f t="shared" si="35"/>
        <v>0.39484804004704999</v>
      </c>
      <c r="CA45" s="18">
        <f t="shared" si="35"/>
        <v>0.3948481382432229</v>
      </c>
      <c r="CB45" s="18">
        <f t="shared" si="35"/>
        <v>0.39484815355250291</v>
      </c>
      <c r="CC45" s="18">
        <f t="shared" si="35"/>
        <v>0.39484815593929723</v>
      </c>
      <c r="CD45" s="18">
        <f t="shared" si="35"/>
        <v>0.39484815631141057</v>
      </c>
      <c r="CE45" s="18">
        <f t="shared" si="35"/>
        <v>0.39484815636942489</v>
      </c>
      <c r="CF45" s="18">
        <f t="shared" si="35"/>
        <v>0.39484815637846959</v>
      </c>
      <c r="CG45" s="18">
        <f t="shared" si="35"/>
        <v>0.39484815637987974</v>
      </c>
      <c r="CH45" s="18">
        <f t="shared" si="35"/>
        <v>0.39484815638009962</v>
      </c>
      <c r="CI45" s="18">
        <f t="shared" si="35"/>
        <v>0.39484815638013382</v>
      </c>
      <c r="CJ45" s="18">
        <f t="shared" si="35"/>
        <v>0.39484815638013915</v>
      </c>
      <c r="CK45" s="18">
        <f t="shared" si="35"/>
        <v>0.39484815638013998</v>
      </c>
      <c r="CL45" s="18">
        <f t="shared" si="35"/>
        <v>0.39484815638014015</v>
      </c>
      <c r="CM45" s="18">
        <f t="shared" si="35"/>
        <v>0.39484815638014015</v>
      </c>
      <c r="CN45" s="18">
        <f t="shared" si="35"/>
        <v>0.39484815638014015</v>
      </c>
      <c r="CO45" s="18">
        <f t="shared" si="35"/>
        <v>0.39484815638014015</v>
      </c>
      <c r="CP45" s="18">
        <f t="shared" si="35"/>
        <v>0.39484815638014015</v>
      </c>
      <c r="CQ45" s="18">
        <f t="shared" si="35"/>
        <v>0.39484815638014015</v>
      </c>
      <c r="CR45" s="18">
        <f t="shared" si="35"/>
        <v>0.39484815638014015</v>
      </c>
      <c r="CS45" s="18">
        <f t="shared" si="35"/>
        <v>0.39484815638014015</v>
      </c>
      <c r="CT45" s="18">
        <f t="shared" si="35"/>
        <v>0.39484815638014015</v>
      </c>
      <c r="CU45" s="20">
        <f t="shared" si="35"/>
        <v>0.39484815638014015</v>
      </c>
      <c r="CW45" s="1"/>
      <c r="CX45" s="20">
        <f t="shared" si="11"/>
        <v>300</v>
      </c>
      <c r="CY45" s="17">
        <f t="shared" si="12"/>
        <v>191.12220520712069</v>
      </c>
      <c r="CZ45" s="17">
        <f t="shared" si="96"/>
        <v>167.08416066015803</v>
      </c>
      <c r="DA45" s="17">
        <f t="shared" si="97"/>
        <v>153.41427937569904</v>
      </c>
      <c r="DB45" s="17">
        <f t="shared" si="98"/>
        <v>141.43415155745649</v>
      </c>
      <c r="DC45" s="17">
        <f t="shared" si="36"/>
        <v>130.01348790013128</v>
      </c>
      <c r="DD45" s="17">
        <f t="shared" si="37"/>
        <v>119.07009301423145</v>
      </c>
      <c r="DE45" s="17">
        <f t="shared" si="38"/>
        <v>108.66462108874106</v>
      </c>
      <c r="DF45" s="17">
        <f t="shared" si="39"/>
        <v>98.869835062786237</v>
      </c>
      <c r="DG45" s="17">
        <f t="shared" si="40"/>
        <v>89.75103948870462</v>
      </c>
      <c r="DH45" s="17">
        <f t="shared" si="41"/>
        <v>81.362732002828238</v>
      </c>
      <c r="DI45" s="17">
        <f t="shared" si="42"/>
        <v>73.747840397647479</v>
      </c>
      <c r="DJ45" s="17">
        <f t="shared" si="43"/>
        <v>66.937577557603007</v>
      </c>
      <c r="DK45" s="17">
        <f t="shared" si="44"/>
        <v>60.95160649125193</v>
      </c>
      <c r="DL45" s="17">
        <f t="shared" si="45"/>
        <v>55.798437008901097</v>
      </c>
      <c r="DM45" s="17">
        <f t="shared" si="46"/>
        <v>51.476003720167959</v>
      </c>
      <c r="DN45" s="17">
        <f t="shared" si="47"/>
        <v>47.972377565946957</v>
      </c>
      <c r="DO45" s="17">
        <f t="shared" si="48"/>
        <v>45.266564819406256</v>
      </c>
      <c r="DP45" s="17">
        <f t="shared" si="49"/>
        <v>43.329351469462075</v>
      </c>
      <c r="DQ45" s="17">
        <f t="shared" si="50"/>
        <v>42.124156982632343</v>
      </c>
      <c r="DR45" s="17">
        <f t="shared" si="51"/>
        <v>41.607868924208532</v>
      </c>
      <c r="DS45" s="17">
        <f t="shared" si="52"/>
        <v>41.731638012331885</v>
      </c>
      <c r="DT45" s="17">
        <f t="shared" si="53"/>
        <v>42.441621121626213</v>
      </c>
      <c r="DU45" s="17">
        <f t="shared" si="54"/>
        <v>43.679666903205977</v>
      </c>
      <c r="DV45" s="17">
        <f t="shared" si="55"/>
        <v>45.38394456849079</v>
      </c>
      <c r="DW45" s="17">
        <f t="shared" si="56"/>
        <v>47.489520716122776</v>
      </c>
      <c r="DX45" s="17">
        <f t="shared" si="57"/>
        <v>49.928891790416351</v>
      </c>
      <c r="DY45" s="17">
        <f t="shared" si="58"/>
        <v>52.632480962788321</v>
      </c>
      <c r="DZ45" s="17">
        <f t="shared" si="59"/>
        <v>55.529108197572704</v>
      </c>
      <c r="EA45" s="20">
        <f t="shared" si="60"/>
        <v>58.546441380896432</v>
      </c>
    </row>
    <row r="46" spans="5:131" x14ac:dyDescent="0.25">
      <c r="E46" s="1"/>
      <c r="F46" s="15">
        <v>300</v>
      </c>
      <c r="G46" s="16">
        <f t="shared" si="61"/>
        <v>279.99075248592408</v>
      </c>
      <c r="H46" s="16">
        <f t="shared" si="62"/>
        <v>260.15976623117001</v>
      </c>
      <c r="I46" s="16">
        <f t="shared" si="63"/>
        <v>240.6818908048744</v>
      </c>
      <c r="J46" s="16">
        <f t="shared" si="64"/>
        <v>221.72527278961994</v>
      </c>
      <c r="K46" s="16">
        <f t="shared" si="65"/>
        <v>203.44829810209524</v>
      </c>
      <c r="L46" s="16">
        <f t="shared" si="66"/>
        <v>185.99686738580419</v>
      </c>
      <c r="M46" s="16">
        <f t="shared" si="67"/>
        <v>169.5020846565036</v>
      </c>
      <c r="N46" s="16">
        <f t="shared" si="68"/>
        <v>154.07841610714502</v>
      </c>
      <c r="O46" s="16">
        <f t="shared" si="69"/>
        <v>139.82235048648121</v>
      </c>
      <c r="P46" s="16">
        <f t="shared" si="70"/>
        <v>126.81156664573942</v>
      </c>
      <c r="Q46" s="16">
        <f t="shared" si="71"/>
        <v>115.10458953398111</v>
      </c>
      <c r="R46" s="16">
        <f t="shared" si="72"/>
        <v>104.74089473192757</v>
      </c>
      <c r="S46" s="16">
        <f t="shared" si="14"/>
        <v>95.74140481615845</v>
      </c>
      <c r="T46" s="16">
        <f t="shared" si="15"/>
        <v>88.109309271680559</v>
      </c>
      <c r="U46" s="16">
        <f t="shared" si="16"/>
        <v>81.83113366701113</v>
      </c>
      <c r="V46" s="16">
        <f t="shared" si="17"/>
        <v>76.877983235760112</v>
      </c>
      <c r="W46" s="16">
        <f t="shared" si="18"/>
        <v>73.206890301362449</v>
      </c>
      <c r="X46" s="16">
        <f t="shared" si="19"/>
        <v>70.762203217829082</v>
      </c>
      <c r="Y46" s="16">
        <f t="shared" si="20"/>
        <v>69.476965524833531</v>
      </c>
      <c r="Z46" s="16">
        <f t="shared" si="21"/>
        <v>69.274246568514499</v>
      </c>
      <c r="AA46" s="16">
        <f t="shared" si="22"/>
        <v>70.068397679613724</v>
      </c>
      <c r="AB46" s="16">
        <f t="shared" si="23"/>
        <v>71.766220025098988</v>
      </c>
      <c r="AC46" s="16">
        <f t="shared" si="24"/>
        <v>74.268040586317198</v>
      </c>
      <c r="AD46" s="16">
        <f t="shared" si="25"/>
        <v>77.468700787505412</v>
      </c>
      <c r="AE46" s="16">
        <f t="shared" si="26"/>
        <v>81.258467845358311</v>
      </c>
      <c r="AF46" s="16">
        <f t="shared" si="27"/>
        <v>85.523881987496168</v>
      </c>
      <c r="AG46" s="16">
        <f t="shared" si="28"/>
        <v>90.1485536197128</v>
      </c>
      <c r="AH46" s="16">
        <f t="shared" si="8"/>
        <v>95.013923835586723</v>
      </c>
      <c r="AI46" s="15">
        <v>100</v>
      </c>
      <c r="AK46" s="1"/>
      <c r="AL46" s="20">
        <f t="shared" si="13"/>
        <v>-1076400000</v>
      </c>
      <c r="AM46" s="17">
        <f t="shared" si="73"/>
        <v>-1003917198.4116831</v>
      </c>
      <c r="AN46" s="17">
        <f t="shared" si="74"/>
        <v>-932087196.68646336</v>
      </c>
      <c r="AO46" s="17">
        <f t="shared" si="75"/>
        <v>-861550087.78753579</v>
      </c>
      <c r="AP46" s="17">
        <f t="shared" si="76"/>
        <v>-792921010.59150124</v>
      </c>
      <c r="AQ46" s="17">
        <f t="shared" si="77"/>
        <v>-726778794.18320334</v>
      </c>
      <c r="AR46" s="17">
        <f t="shared" si="78"/>
        <v>-663655871.77779412</v>
      </c>
      <c r="AS46" s="17">
        <f t="shared" si="79"/>
        <v>-604029767.43101096</v>
      </c>
      <c r="AT46" s="17">
        <f t="shared" si="80"/>
        <v>-548316368.30248797</v>
      </c>
      <c r="AU46" s="17">
        <f t="shared" si="81"/>
        <v>-496865096.45168805</v>
      </c>
      <c r="AV46" s="17">
        <f t="shared" si="82"/>
        <v>-449955994.41316766</v>
      </c>
      <c r="AW46" s="17">
        <f t="shared" si="83"/>
        <v>-407798645.30460042</v>
      </c>
      <c r="AX46" s="17">
        <f t="shared" si="84"/>
        <v>-370532767.27507609</v>
      </c>
      <c r="AY46" s="17">
        <f t="shared" si="85"/>
        <v>-338230258.61559939</v>
      </c>
      <c r="AZ46" s="17">
        <f t="shared" si="86"/>
        <v>-310898426.98764682</v>
      </c>
      <c r="BA46" s="17">
        <f t="shared" si="87"/>
        <v>-288484115.21134949</v>
      </c>
      <c r="BB46" s="17">
        <f t="shared" si="88"/>
        <v>-270878436.21758026</v>
      </c>
      <c r="BC46" s="17">
        <f t="shared" si="89"/>
        <v>-257921848.7266348</v>
      </c>
      <c r="BD46" s="17">
        <f t="shared" si="90"/>
        <v>-249409339.23333624</v>
      </c>
      <c r="BE46" s="17">
        <f t="shared" si="91"/>
        <v>-245095520.31839597</v>
      </c>
      <c r="BF46" s="17">
        <f t="shared" si="92"/>
        <v>-244699505.14501581</v>
      </c>
      <c r="BG46" s="17">
        <f t="shared" si="93"/>
        <v>-247909468.33710817</v>
      </c>
      <c r="BH46" s="17">
        <f t="shared" si="94"/>
        <v>-254386849.95267069</v>
      </c>
      <c r="BI46" s="17">
        <f t="shared" si="95"/>
        <v>-263770198.59251827</v>
      </c>
      <c r="BJ46" s="17">
        <f t="shared" si="29"/>
        <v>-275678679.63987654</v>
      </c>
      <c r="BK46" s="17">
        <f t="shared" si="30"/>
        <v>-289715294.31888092</v>
      </c>
      <c r="BL46" s="17">
        <f t="shared" si="31"/>
        <v>-305469865.04501748</v>
      </c>
      <c r="BM46" s="17">
        <f t="shared" si="32"/>
        <v>-322521843.846793</v>
      </c>
      <c r="BN46" s="17">
        <f t="shared" si="33"/>
        <v>-340442995.68956596</v>
      </c>
      <c r="BO46" s="20">
        <f t="shared" si="34"/>
        <v>-358800000</v>
      </c>
      <c r="BQ46" s="1"/>
      <c r="BR46" s="20">
        <v>0</v>
      </c>
      <c r="BS46" s="18">
        <f t="shared" si="10"/>
        <v>0.34159220146222585</v>
      </c>
      <c r="BT46" s="18">
        <f t="shared" si="35"/>
        <v>0.38671628039714145</v>
      </c>
      <c r="BU46" s="18">
        <f t="shared" si="35"/>
        <v>0.39358441341045358</v>
      </c>
      <c r="BV46" s="18">
        <f t="shared" si="35"/>
        <v>0.39465123071155617</v>
      </c>
      <c r="BW46" s="18">
        <f t="shared" si="35"/>
        <v>0.39481745705771343</v>
      </c>
      <c r="BX46" s="18">
        <f t="shared" si="35"/>
        <v>0.39484337025824812</v>
      </c>
      <c r="BY46" s="18">
        <f t="shared" si="35"/>
        <v>0.39484741020089803</v>
      </c>
      <c r="BZ46" s="18">
        <f t="shared" si="35"/>
        <v>0.39484804004704999</v>
      </c>
      <c r="CA46" s="18">
        <f t="shared" si="35"/>
        <v>0.3948481382432229</v>
      </c>
      <c r="CB46" s="18">
        <f t="shared" si="35"/>
        <v>0.39484815355250291</v>
      </c>
      <c r="CC46" s="18">
        <f t="shared" si="35"/>
        <v>0.39484815593929723</v>
      </c>
      <c r="CD46" s="18">
        <f t="shared" si="35"/>
        <v>0.39484815631141057</v>
      </c>
      <c r="CE46" s="18">
        <f t="shared" si="35"/>
        <v>0.39484815636942489</v>
      </c>
      <c r="CF46" s="18">
        <f t="shared" si="35"/>
        <v>0.39484815637846959</v>
      </c>
      <c r="CG46" s="18">
        <f t="shared" si="35"/>
        <v>0.39484815637987974</v>
      </c>
      <c r="CH46" s="18">
        <f t="shared" si="35"/>
        <v>0.39484815638009962</v>
      </c>
      <c r="CI46" s="18">
        <f t="shared" si="35"/>
        <v>0.39484815638013382</v>
      </c>
      <c r="CJ46" s="18">
        <f t="shared" si="35"/>
        <v>0.39484815638013915</v>
      </c>
      <c r="CK46" s="18">
        <f t="shared" si="35"/>
        <v>0.39484815638013998</v>
      </c>
      <c r="CL46" s="18">
        <f t="shared" si="35"/>
        <v>0.39484815638014015</v>
      </c>
      <c r="CM46" s="18">
        <f t="shared" si="35"/>
        <v>0.39484815638014015</v>
      </c>
      <c r="CN46" s="18">
        <f t="shared" si="35"/>
        <v>0.39484815638014015</v>
      </c>
      <c r="CO46" s="18">
        <f t="shared" si="35"/>
        <v>0.39484815638014015</v>
      </c>
      <c r="CP46" s="18">
        <f t="shared" si="35"/>
        <v>0.39484815638014015</v>
      </c>
      <c r="CQ46" s="18">
        <f t="shared" si="35"/>
        <v>0.39484815638014015</v>
      </c>
      <c r="CR46" s="18">
        <f t="shared" si="35"/>
        <v>0.39484815638014015</v>
      </c>
      <c r="CS46" s="18">
        <f t="shared" si="35"/>
        <v>0.39484815638014015</v>
      </c>
      <c r="CT46" s="18">
        <f t="shared" si="35"/>
        <v>0.39484815638014015</v>
      </c>
      <c r="CU46" s="20">
        <f t="shared" si="35"/>
        <v>0.39484815638014015</v>
      </c>
      <c r="CW46" s="1"/>
      <c r="CX46" s="20">
        <f t="shared" si="11"/>
        <v>300</v>
      </c>
      <c r="CY46" s="17">
        <f t="shared" si="12"/>
        <v>191.12220520712069</v>
      </c>
      <c r="CZ46" s="17">
        <f t="shared" si="96"/>
        <v>167.08416066015803</v>
      </c>
      <c r="DA46" s="17">
        <f t="shared" si="97"/>
        <v>153.41427937569904</v>
      </c>
      <c r="DB46" s="17">
        <f t="shared" si="98"/>
        <v>141.43415155745649</v>
      </c>
      <c r="DC46" s="17">
        <f t="shared" si="36"/>
        <v>130.01348790013128</v>
      </c>
      <c r="DD46" s="17">
        <f t="shared" si="37"/>
        <v>119.07009301423145</v>
      </c>
      <c r="DE46" s="17">
        <f t="shared" si="38"/>
        <v>108.66462108874106</v>
      </c>
      <c r="DF46" s="17">
        <f t="shared" si="39"/>
        <v>98.869835062786237</v>
      </c>
      <c r="DG46" s="17">
        <f t="shared" si="40"/>
        <v>89.75103948870462</v>
      </c>
      <c r="DH46" s="17">
        <f t="shared" si="41"/>
        <v>81.362732002828224</v>
      </c>
      <c r="DI46" s="17">
        <f t="shared" si="42"/>
        <v>73.747840397647465</v>
      </c>
      <c r="DJ46" s="17">
        <f t="shared" si="43"/>
        <v>66.937577557602992</v>
      </c>
      <c r="DK46" s="17">
        <f t="shared" si="44"/>
        <v>60.951606491251908</v>
      </c>
      <c r="DL46" s="17">
        <f t="shared" si="45"/>
        <v>55.798437008901097</v>
      </c>
      <c r="DM46" s="17">
        <f t="shared" si="46"/>
        <v>51.476003720167952</v>
      </c>
      <c r="DN46" s="17">
        <f t="shared" si="47"/>
        <v>47.97237756594695</v>
      </c>
      <c r="DO46" s="17">
        <f t="shared" si="48"/>
        <v>45.266564819406256</v>
      </c>
      <c r="DP46" s="17">
        <f t="shared" si="49"/>
        <v>43.329351469462075</v>
      </c>
      <c r="DQ46" s="17">
        <f t="shared" si="50"/>
        <v>42.124156982632343</v>
      </c>
      <c r="DR46" s="17">
        <f t="shared" si="51"/>
        <v>41.607868924208532</v>
      </c>
      <c r="DS46" s="17">
        <f t="shared" si="52"/>
        <v>41.731638012331885</v>
      </c>
      <c r="DT46" s="17">
        <f t="shared" si="53"/>
        <v>42.441621121626213</v>
      </c>
      <c r="DU46" s="17">
        <f t="shared" si="54"/>
        <v>43.679666903205977</v>
      </c>
      <c r="DV46" s="17">
        <f t="shared" si="55"/>
        <v>45.38394456849079</v>
      </c>
      <c r="DW46" s="17">
        <f t="shared" si="56"/>
        <v>47.489520716122776</v>
      </c>
      <c r="DX46" s="17">
        <f t="shared" si="57"/>
        <v>49.928891790416351</v>
      </c>
      <c r="DY46" s="17">
        <f t="shared" si="58"/>
        <v>52.632480962788321</v>
      </c>
      <c r="DZ46" s="17">
        <f t="shared" si="59"/>
        <v>55.529108197572718</v>
      </c>
      <c r="EA46" s="20">
        <f t="shared" si="60"/>
        <v>58.546441380896432</v>
      </c>
    </row>
    <row r="47" spans="5:131" x14ac:dyDescent="0.25">
      <c r="E47" s="1" t="s">
        <v>22</v>
      </c>
      <c r="F47" s="15">
        <v>300</v>
      </c>
      <c r="G47" s="16">
        <f t="shared" si="61"/>
        <v>279.99075248592408</v>
      </c>
      <c r="H47" s="16">
        <f t="shared" si="62"/>
        <v>260.15976623117001</v>
      </c>
      <c r="I47" s="16">
        <f t="shared" si="63"/>
        <v>240.6818908048744</v>
      </c>
      <c r="J47" s="16">
        <f t="shared" si="64"/>
        <v>221.72527278961994</v>
      </c>
      <c r="K47" s="16">
        <f t="shared" si="65"/>
        <v>203.44829810209524</v>
      </c>
      <c r="L47" s="16">
        <f t="shared" si="66"/>
        <v>185.99686738580419</v>
      </c>
      <c r="M47" s="16">
        <f t="shared" si="67"/>
        <v>169.50208465650357</v>
      </c>
      <c r="N47" s="16">
        <f t="shared" si="68"/>
        <v>154.07841610714502</v>
      </c>
      <c r="O47" s="16">
        <f t="shared" si="69"/>
        <v>139.82235048648118</v>
      </c>
      <c r="P47" s="16">
        <f t="shared" si="70"/>
        <v>126.81156664573942</v>
      </c>
      <c r="Q47" s="16">
        <f t="shared" si="71"/>
        <v>115.10458953398111</v>
      </c>
      <c r="R47" s="16">
        <f t="shared" si="72"/>
        <v>104.74089473192757</v>
      </c>
      <c r="S47" s="16">
        <f t="shared" si="14"/>
        <v>95.74140481615845</v>
      </c>
      <c r="T47" s="16">
        <f t="shared" si="15"/>
        <v>88.109309271680559</v>
      </c>
      <c r="U47" s="16">
        <f t="shared" si="16"/>
        <v>81.83113366701113</v>
      </c>
      <c r="V47" s="16">
        <f t="shared" si="17"/>
        <v>76.877983235760098</v>
      </c>
      <c r="W47" s="16">
        <f t="shared" si="18"/>
        <v>73.206890301362421</v>
      </c>
      <c r="X47" s="16">
        <f t="shared" si="19"/>
        <v>70.762203217829068</v>
      </c>
      <c r="Y47" s="16">
        <f t="shared" si="20"/>
        <v>69.476965524833517</v>
      </c>
      <c r="Z47" s="16">
        <f t="shared" si="21"/>
        <v>69.274246568514485</v>
      </c>
      <c r="AA47" s="16">
        <f t="shared" si="22"/>
        <v>70.068397679613696</v>
      </c>
      <c r="AB47" s="16">
        <f t="shared" si="23"/>
        <v>71.76622002509896</v>
      </c>
      <c r="AC47" s="16">
        <f t="shared" si="24"/>
        <v>74.268040586317184</v>
      </c>
      <c r="AD47" s="16">
        <f t="shared" si="25"/>
        <v>77.468700787505398</v>
      </c>
      <c r="AE47" s="16">
        <f t="shared" si="26"/>
        <v>81.258467845358297</v>
      </c>
      <c r="AF47" s="16">
        <f t="shared" si="27"/>
        <v>85.523881987496139</v>
      </c>
      <c r="AG47" s="16">
        <f t="shared" si="28"/>
        <v>90.1485536197128</v>
      </c>
      <c r="AH47" s="16">
        <f t="shared" si="8"/>
        <v>95.013923835586723</v>
      </c>
      <c r="AI47" s="15">
        <v>100</v>
      </c>
      <c r="AK47" s="1" t="s">
        <v>23</v>
      </c>
      <c r="AL47" s="20">
        <f t="shared" si="13"/>
        <v>-1076400000</v>
      </c>
      <c r="AM47" s="17">
        <f t="shared" si="73"/>
        <v>-1003917198.4116831</v>
      </c>
      <c r="AN47" s="17">
        <f t="shared" si="74"/>
        <v>-932087196.68646336</v>
      </c>
      <c r="AO47" s="17">
        <f t="shared" si="75"/>
        <v>-861550087.78753579</v>
      </c>
      <c r="AP47" s="17">
        <f t="shared" si="76"/>
        <v>-792921010.59150124</v>
      </c>
      <c r="AQ47" s="17">
        <f t="shared" si="77"/>
        <v>-726778794.18320334</v>
      </c>
      <c r="AR47" s="17">
        <f t="shared" si="78"/>
        <v>-663655871.77779412</v>
      </c>
      <c r="AS47" s="17">
        <f t="shared" si="79"/>
        <v>-604029767.43101072</v>
      </c>
      <c r="AT47" s="17">
        <f t="shared" si="80"/>
        <v>-548316368.30248785</v>
      </c>
      <c r="AU47" s="17">
        <f t="shared" si="81"/>
        <v>-496865096.45168787</v>
      </c>
      <c r="AV47" s="17">
        <f t="shared" si="82"/>
        <v>-449955994.4131676</v>
      </c>
      <c r="AW47" s="17">
        <f t="shared" si="83"/>
        <v>-407798645.30460036</v>
      </c>
      <c r="AX47" s="17">
        <f t="shared" si="84"/>
        <v>-370532767.27507591</v>
      </c>
      <c r="AY47" s="17">
        <f t="shared" si="85"/>
        <v>-338230258.61559927</v>
      </c>
      <c r="AZ47" s="17">
        <f t="shared" si="86"/>
        <v>-310898426.98764682</v>
      </c>
      <c r="BA47" s="17">
        <f t="shared" si="87"/>
        <v>-288484115.21134949</v>
      </c>
      <c r="BB47" s="17">
        <f t="shared" si="88"/>
        <v>-270878436.2175802</v>
      </c>
      <c r="BC47" s="17">
        <f t="shared" si="89"/>
        <v>-257921848.72663474</v>
      </c>
      <c r="BD47" s="17">
        <f t="shared" si="90"/>
        <v>-249409339.23333618</v>
      </c>
      <c r="BE47" s="17">
        <f t="shared" si="91"/>
        <v>-245095520.31839591</v>
      </c>
      <c r="BF47" s="17">
        <f t="shared" si="92"/>
        <v>-244699505.14501575</v>
      </c>
      <c r="BG47" s="17">
        <f t="shared" si="93"/>
        <v>-247909468.33710811</v>
      </c>
      <c r="BH47" s="17">
        <f t="shared" si="94"/>
        <v>-254386849.9526706</v>
      </c>
      <c r="BI47" s="17">
        <f t="shared" si="95"/>
        <v>-263770198.59251815</v>
      </c>
      <c r="BJ47" s="17">
        <f t="shared" si="29"/>
        <v>-275678679.63987643</v>
      </c>
      <c r="BK47" s="17">
        <f t="shared" si="30"/>
        <v>-289715294.3188808</v>
      </c>
      <c r="BL47" s="17">
        <f t="shared" si="31"/>
        <v>-305469865.04501742</v>
      </c>
      <c r="BM47" s="17">
        <f t="shared" si="32"/>
        <v>-322521843.846793</v>
      </c>
      <c r="BN47" s="17">
        <f t="shared" si="33"/>
        <v>-340442995.68956596</v>
      </c>
      <c r="BO47" s="20">
        <f t="shared" si="34"/>
        <v>-358800000</v>
      </c>
      <c r="BQ47" s="1" t="s">
        <v>24</v>
      </c>
      <c r="BR47" s="20">
        <v>0</v>
      </c>
      <c r="BS47" s="18">
        <f t="shared" si="10"/>
        <v>0.34159220146222585</v>
      </c>
      <c r="BT47" s="18">
        <f t="shared" si="35"/>
        <v>0.38671628039714145</v>
      </c>
      <c r="BU47" s="18">
        <f t="shared" si="35"/>
        <v>0.39358441341045358</v>
      </c>
      <c r="BV47" s="18">
        <f t="shared" si="35"/>
        <v>0.39465123071155617</v>
      </c>
      <c r="BW47" s="18">
        <f t="shared" si="35"/>
        <v>0.39481745705771343</v>
      </c>
      <c r="BX47" s="18">
        <f t="shared" si="35"/>
        <v>0.39484337025824812</v>
      </c>
      <c r="BY47" s="18">
        <f t="shared" si="35"/>
        <v>0.39484741020089803</v>
      </c>
      <c r="BZ47" s="18">
        <f t="shared" si="35"/>
        <v>0.39484804004704999</v>
      </c>
      <c r="CA47" s="18">
        <f t="shared" si="35"/>
        <v>0.3948481382432229</v>
      </c>
      <c r="CB47" s="18">
        <f t="shared" si="35"/>
        <v>0.39484815355250291</v>
      </c>
      <c r="CC47" s="18">
        <f t="shared" si="35"/>
        <v>0.39484815593929723</v>
      </c>
      <c r="CD47" s="18">
        <f t="shared" si="35"/>
        <v>0.39484815631141057</v>
      </c>
      <c r="CE47" s="18">
        <f t="shared" si="35"/>
        <v>0.39484815636942489</v>
      </c>
      <c r="CF47" s="18">
        <f t="shared" si="35"/>
        <v>0.39484815637846959</v>
      </c>
      <c r="CG47" s="18">
        <f t="shared" si="35"/>
        <v>0.39484815637987974</v>
      </c>
      <c r="CH47" s="18">
        <f t="shared" si="35"/>
        <v>0.39484815638009962</v>
      </c>
      <c r="CI47" s="18">
        <f t="shared" si="35"/>
        <v>0.39484815638013382</v>
      </c>
      <c r="CJ47" s="18">
        <f t="shared" si="35"/>
        <v>0.39484815638013915</v>
      </c>
      <c r="CK47" s="18">
        <f t="shared" si="35"/>
        <v>0.39484815638013998</v>
      </c>
      <c r="CL47" s="18">
        <f t="shared" si="35"/>
        <v>0.39484815638014015</v>
      </c>
      <c r="CM47" s="18">
        <f t="shared" si="35"/>
        <v>0.39484815638014015</v>
      </c>
      <c r="CN47" s="18">
        <f t="shared" si="35"/>
        <v>0.39484815638014015</v>
      </c>
      <c r="CO47" s="18">
        <f t="shared" si="35"/>
        <v>0.39484815638014015</v>
      </c>
      <c r="CP47" s="18">
        <f t="shared" si="35"/>
        <v>0.39484815638014015</v>
      </c>
      <c r="CQ47" s="18">
        <f t="shared" si="35"/>
        <v>0.39484815638014015</v>
      </c>
      <c r="CR47" s="18">
        <f t="shared" si="35"/>
        <v>0.39484815638014015</v>
      </c>
      <c r="CS47" s="18">
        <f t="shared" si="35"/>
        <v>0.39484815638014015</v>
      </c>
      <c r="CT47" s="18">
        <f t="shared" si="35"/>
        <v>0.39484815638014015</v>
      </c>
      <c r="CU47" s="20">
        <f t="shared" si="35"/>
        <v>0.39484815638014015</v>
      </c>
      <c r="CW47" s="1" t="s">
        <v>25</v>
      </c>
      <c r="CX47" s="20">
        <f t="shared" si="11"/>
        <v>300</v>
      </c>
      <c r="CY47" s="17">
        <f t="shared" si="12"/>
        <v>191.12220520712069</v>
      </c>
      <c r="CZ47" s="17">
        <f t="shared" si="96"/>
        <v>167.08416066015803</v>
      </c>
      <c r="DA47" s="17">
        <f t="shared" si="97"/>
        <v>153.41427937569904</v>
      </c>
      <c r="DB47" s="17">
        <f t="shared" si="98"/>
        <v>141.43415155745649</v>
      </c>
      <c r="DC47" s="17">
        <f t="shared" si="36"/>
        <v>130.01348790013128</v>
      </c>
      <c r="DD47" s="17">
        <f t="shared" si="37"/>
        <v>119.07009301423145</v>
      </c>
      <c r="DE47" s="17">
        <f t="shared" si="38"/>
        <v>108.66462108874103</v>
      </c>
      <c r="DF47" s="17">
        <f t="shared" si="39"/>
        <v>98.869835062786223</v>
      </c>
      <c r="DG47" s="17">
        <f t="shared" si="40"/>
        <v>89.751039488704592</v>
      </c>
      <c r="DH47" s="17">
        <f t="shared" si="41"/>
        <v>81.362732002828224</v>
      </c>
      <c r="DI47" s="17">
        <f t="shared" si="42"/>
        <v>73.747840397647465</v>
      </c>
      <c r="DJ47" s="17">
        <f t="shared" si="43"/>
        <v>66.937577557602992</v>
      </c>
      <c r="DK47" s="17">
        <f t="shared" si="44"/>
        <v>60.951606491251908</v>
      </c>
      <c r="DL47" s="17">
        <f t="shared" si="45"/>
        <v>55.798437008901097</v>
      </c>
      <c r="DM47" s="17">
        <f t="shared" si="46"/>
        <v>51.476003720167952</v>
      </c>
      <c r="DN47" s="17">
        <f t="shared" si="47"/>
        <v>47.972377565946942</v>
      </c>
      <c r="DO47" s="17">
        <f t="shared" si="48"/>
        <v>45.266564819406241</v>
      </c>
      <c r="DP47" s="17">
        <f t="shared" si="49"/>
        <v>43.329351469462068</v>
      </c>
      <c r="DQ47" s="17">
        <f t="shared" si="50"/>
        <v>42.124156982632336</v>
      </c>
      <c r="DR47" s="17">
        <f t="shared" si="51"/>
        <v>41.607868924208532</v>
      </c>
      <c r="DS47" s="17">
        <f t="shared" si="52"/>
        <v>41.731638012331878</v>
      </c>
      <c r="DT47" s="17">
        <f t="shared" si="53"/>
        <v>42.441621121626198</v>
      </c>
      <c r="DU47" s="17">
        <f t="shared" si="54"/>
        <v>43.679666903205963</v>
      </c>
      <c r="DV47" s="17">
        <f t="shared" si="55"/>
        <v>45.383944568490776</v>
      </c>
      <c r="DW47" s="17">
        <f t="shared" si="56"/>
        <v>47.489520716122762</v>
      </c>
      <c r="DX47" s="17">
        <f t="shared" si="57"/>
        <v>49.928891790416337</v>
      </c>
      <c r="DY47" s="17">
        <f t="shared" si="58"/>
        <v>52.632480962788321</v>
      </c>
      <c r="DZ47" s="17">
        <f t="shared" si="59"/>
        <v>55.529108197572718</v>
      </c>
      <c r="EA47" s="20">
        <f t="shared" si="60"/>
        <v>58.546441380896432</v>
      </c>
    </row>
    <row r="48" spans="5:131" x14ac:dyDescent="0.25">
      <c r="E48" s="1"/>
      <c r="F48" s="15">
        <v>300</v>
      </c>
      <c r="G48" s="16">
        <f t="shared" si="61"/>
        <v>279.99075248592408</v>
      </c>
      <c r="H48" s="16">
        <f t="shared" si="62"/>
        <v>260.15976623116995</v>
      </c>
      <c r="I48" s="16">
        <f t="shared" si="63"/>
        <v>240.68189080487434</v>
      </c>
      <c r="J48" s="16">
        <f t="shared" si="64"/>
        <v>221.72527278961988</v>
      </c>
      <c r="K48" s="16">
        <f t="shared" si="65"/>
        <v>203.44829810209518</v>
      </c>
      <c r="L48" s="16">
        <f t="shared" si="66"/>
        <v>185.99686738580414</v>
      </c>
      <c r="M48" s="16">
        <f t="shared" si="67"/>
        <v>169.50208465650351</v>
      </c>
      <c r="N48" s="16">
        <f t="shared" si="68"/>
        <v>154.07841610714496</v>
      </c>
      <c r="O48" s="16">
        <f t="shared" si="69"/>
        <v>139.82235048648113</v>
      </c>
      <c r="P48" s="16">
        <f t="shared" si="70"/>
        <v>126.81156664573938</v>
      </c>
      <c r="Q48" s="16">
        <f t="shared" si="71"/>
        <v>115.10458953398107</v>
      </c>
      <c r="R48" s="16">
        <f t="shared" si="72"/>
        <v>104.74089473192751</v>
      </c>
      <c r="S48" s="16">
        <f t="shared" si="14"/>
        <v>95.741404816158393</v>
      </c>
      <c r="T48" s="16">
        <f t="shared" si="15"/>
        <v>88.109309271680502</v>
      </c>
      <c r="U48" s="16">
        <f t="shared" si="16"/>
        <v>81.831133667011088</v>
      </c>
      <c r="V48" s="16">
        <f t="shared" si="17"/>
        <v>76.877983235760055</v>
      </c>
      <c r="W48" s="16">
        <f t="shared" si="18"/>
        <v>73.206890301362392</v>
      </c>
      <c r="X48" s="16">
        <f t="shared" si="19"/>
        <v>70.762203217829025</v>
      </c>
      <c r="Y48" s="16">
        <f t="shared" si="20"/>
        <v>69.476965524833474</v>
      </c>
      <c r="Z48" s="16">
        <f t="shared" si="21"/>
        <v>69.274246568514457</v>
      </c>
      <c r="AA48" s="16">
        <f t="shared" si="22"/>
        <v>70.068397679613668</v>
      </c>
      <c r="AB48" s="16">
        <f t="shared" si="23"/>
        <v>71.766220025098932</v>
      </c>
      <c r="AC48" s="16">
        <f t="shared" si="24"/>
        <v>74.26804058631717</v>
      </c>
      <c r="AD48" s="16">
        <f t="shared" si="25"/>
        <v>77.468700787505384</v>
      </c>
      <c r="AE48" s="16">
        <f t="shared" si="26"/>
        <v>81.258467845358268</v>
      </c>
      <c r="AF48" s="16">
        <f t="shared" si="27"/>
        <v>85.523881987496125</v>
      </c>
      <c r="AG48" s="16">
        <f t="shared" si="28"/>
        <v>90.148553619712771</v>
      </c>
      <c r="AH48" s="16">
        <f t="shared" si="8"/>
        <v>95.013923835586709</v>
      </c>
      <c r="AI48" s="15">
        <v>100</v>
      </c>
      <c r="AK48" s="1"/>
      <c r="AL48" s="20">
        <f t="shared" si="13"/>
        <v>-1076400000</v>
      </c>
      <c r="AM48" s="17">
        <f t="shared" si="73"/>
        <v>-1003917198.4116828</v>
      </c>
      <c r="AN48" s="17">
        <f t="shared" si="74"/>
        <v>-932087196.68646324</v>
      </c>
      <c r="AO48" s="17">
        <f t="shared" si="75"/>
        <v>-861550087.78753555</v>
      </c>
      <c r="AP48" s="17">
        <f t="shared" si="76"/>
        <v>-792921010.591501</v>
      </c>
      <c r="AQ48" s="17">
        <f t="shared" si="77"/>
        <v>-726778794.1832031</v>
      </c>
      <c r="AR48" s="17">
        <f t="shared" si="78"/>
        <v>-663655871.77779388</v>
      </c>
      <c r="AS48" s="17">
        <f t="shared" si="79"/>
        <v>-604029767.43101072</v>
      </c>
      <c r="AT48" s="17">
        <f t="shared" si="80"/>
        <v>-548316368.30248773</v>
      </c>
      <c r="AU48" s="17">
        <f t="shared" si="81"/>
        <v>-496865096.45168769</v>
      </c>
      <c r="AV48" s="17">
        <f t="shared" si="82"/>
        <v>-449955994.41316742</v>
      </c>
      <c r="AW48" s="17">
        <f t="shared" si="83"/>
        <v>-407798645.30460024</v>
      </c>
      <c r="AX48" s="17">
        <f t="shared" si="84"/>
        <v>-370532767.27507573</v>
      </c>
      <c r="AY48" s="17">
        <f t="shared" si="85"/>
        <v>-338230258.61559916</v>
      </c>
      <c r="AZ48" s="17">
        <f t="shared" si="86"/>
        <v>-310898426.98764664</v>
      </c>
      <c r="BA48" s="17">
        <f t="shared" si="87"/>
        <v>-288484115.21134937</v>
      </c>
      <c r="BB48" s="17">
        <f t="shared" si="88"/>
        <v>-270878436.21758002</v>
      </c>
      <c r="BC48" s="17">
        <f t="shared" si="89"/>
        <v>-257921848.72663465</v>
      </c>
      <c r="BD48" s="17">
        <f t="shared" si="90"/>
        <v>-249409339.23333606</v>
      </c>
      <c r="BE48" s="17">
        <f t="shared" si="91"/>
        <v>-245095520.31839582</v>
      </c>
      <c r="BF48" s="17">
        <f t="shared" si="92"/>
        <v>-244699505.14501572</v>
      </c>
      <c r="BG48" s="17">
        <f t="shared" si="93"/>
        <v>-247909468.33710799</v>
      </c>
      <c r="BH48" s="17">
        <f t="shared" si="94"/>
        <v>-254386849.95267048</v>
      </c>
      <c r="BI48" s="17">
        <f t="shared" si="95"/>
        <v>-263770198.59251812</v>
      </c>
      <c r="BJ48" s="17">
        <f t="shared" si="29"/>
        <v>-275678679.63987637</v>
      </c>
      <c r="BK48" s="17">
        <f t="shared" si="30"/>
        <v>-289715294.31888074</v>
      </c>
      <c r="BL48" s="17">
        <f t="shared" si="31"/>
        <v>-305469865.04501736</v>
      </c>
      <c r="BM48" s="17">
        <f t="shared" si="32"/>
        <v>-322521843.84679288</v>
      </c>
      <c r="BN48" s="17">
        <f t="shared" si="33"/>
        <v>-340442995.6895659</v>
      </c>
      <c r="BO48" s="20">
        <f t="shared" si="34"/>
        <v>-358800000</v>
      </c>
      <c r="BQ48" s="1"/>
      <c r="BR48" s="20">
        <v>0</v>
      </c>
      <c r="BS48" s="18">
        <f t="shared" si="10"/>
        <v>0.34159220146222585</v>
      </c>
      <c r="BT48" s="18">
        <f t="shared" si="35"/>
        <v>0.38671628039714145</v>
      </c>
      <c r="BU48" s="18">
        <f t="shared" si="35"/>
        <v>0.39358441341045358</v>
      </c>
      <c r="BV48" s="18">
        <f t="shared" si="35"/>
        <v>0.39465123071155617</v>
      </c>
      <c r="BW48" s="18">
        <f t="shared" si="35"/>
        <v>0.39481745705771343</v>
      </c>
      <c r="BX48" s="18">
        <f t="shared" si="35"/>
        <v>0.39484337025824812</v>
      </c>
      <c r="BY48" s="18">
        <f t="shared" si="35"/>
        <v>0.39484741020089803</v>
      </c>
      <c r="BZ48" s="18">
        <f t="shared" si="35"/>
        <v>0.39484804004704999</v>
      </c>
      <c r="CA48" s="18">
        <f t="shared" si="35"/>
        <v>0.3948481382432229</v>
      </c>
      <c r="CB48" s="18">
        <f t="shared" si="35"/>
        <v>0.39484815355250291</v>
      </c>
      <c r="CC48" s="18">
        <f t="shared" si="35"/>
        <v>0.39484815593929723</v>
      </c>
      <c r="CD48" s="18">
        <f t="shared" si="35"/>
        <v>0.39484815631141057</v>
      </c>
      <c r="CE48" s="18">
        <f t="shared" si="35"/>
        <v>0.39484815636942489</v>
      </c>
      <c r="CF48" s="18">
        <f t="shared" si="35"/>
        <v>0.39484815637846959</v>
      </c>
      <c r="CG48" s="18">
        <f t="shared" si="35"/>
        <v>0.39484815637987974</v>
      </c>
      <c r="CH48" s="18">
        <f t="shared" si="35"/>
        <v>0.39484815638009962</v>
      </c>
      <c r="CI48" s="18">
        <f t="shared" si="35"/>
        <v>0.39484815638013382</v>
      </c>
      <c r="CJ48" s="18">
        <f t="shared" si="35"/>
        <v>0.39484815638013915</v>
      </c>
      <c r="CK48" s="18">
        <f t="shared" si="35"/>
        <v>0.39484815638013998</v>
      </c>
      <c r="CL48" s="18">
        <f t="shared" si="35"/>
        <v>0.39484815638014015</v>
      </c>
      <c r="CM48" s="18">
        <f t="shared" si="35"/>
        <v>0.39484815638014015</v>
      </c>
      <c r="CN48" s="18">
        <f t="shared" si="35"/>
        <v>0.39484815638014015</v>
      </c>
      <c r="CO48" s="18">
        <f t="shared" si="35"/>
        <v>0.39484815638014015</v>
      </c>
      <c r="CP48" s="18">
        <f t="shared" si="35"/>
        <v>0.39484815638014015</v>
      </c>
      <c r="CQ48" s="18">
        <f t="shared" si="35"/>
        <v>0.39484815638014015</v>
      </c>
      <c r="CR48" s="18">
        <f t="shared" si="35"/>
        <v>0.39484815638014015</v>
      </c>
      <c r="CS48" s="18">
        <f t="shared" si="35"/>
        <v>0.39484815638014015</v>
      </c>
      <c r="CT48" s="18">
        <f t="shared" si="35"/>
        <v>0.39484815638014015</v>
      </c>
      <c r="CU48" s="20">
        <f t="shared" si="35"/>
        <v>0.39484815638014015</v>
      </c>
      <c r="CW48" s="1"/>
      <c r="CX48" s="20">
        <f t="shared" si="11"/>
        <v>300</v>
      </c>
      <c r="CY48" s="17">
        <f t="shared" si="12"/>
        <v>191.12220520712069</v>
      </c>
      <c r="CZ48" s="17">
        <f t="shared" si="96"/>
        <v>167.08416066015801</v>
      </c>
      <c r="DA48" s="17">
        <f t="shared" si="97"/>
        <v>153.41427937569901</v>
      </c>
      <c r="DB48" s="17">
        <f t="shared" si="98"/>
        <v>141.43415155745646</v>
      </c>
      <c r="DC48" s="17">
        <f t="shared" si="36"/>
        <v>130.01348790013125</v>
      </c>
      <c r="DD48" s="17">
        <f t="shared" si="37"/>
        <v>119.07009301423139</v>
      </c>
      <c r="DE48" s="17">
        <f t="shared" si="38"/>
        <v>108.664621088741</v>
      </c>
      <c r="DF48" s="17">
        <f t="shared" si="39"/>
        <v>98.869835062786194</v>
      </c>
      <c r="DG48" s="17">
        <f t="shared" si="40"/>
        <v>89.751039488704563</v>
      </c>
      <c r="DH48" s="17">
        <f t="shared" si="41"/>
        <v>81.362732002828196</v>
      </c>
      <c r="DI48" s="17">
        <f t="shared" si="42"/>
        <v>73.747840397647437</v>
      </c>
      <c r="DJ48" s="17">
        <f t="shared" si="43"/>
        <v>66.937577557602964</v>
      </c>
      <c r="DK48" s="17">
        <f t="shared" si="44"/>
        <v>60.95160649125188</v>
      </c>
      <c r="DL48" s="17">
        <f t="shared" si="45"/>
        <v>55.798437008901061</v>
      </c>
      <c r="DM48" s="17">
        <f t="shared" si="46"/>
        <v>51.476003720167924</v>
      </c>
      <c r="DN48" s="17">
        <f t="shared" si="47"/>
        <v>47.972377565946914</v>
      </c>
      <c r="DO48" s="17">
        <f t="shared" si="48"/>
        <v>45.26656481940622</v>
      </c>
      <c r="DP48" s="17">
        <f t="shared" si="49"/>
        <v>43.32935146946204</v>
      </c>
      <c r="DQ48" s="17">
        <f t="shared" si="50"/>
        <v>42.124156982632307</v>
      </c>
      <c r="DR48" s="17">
        <f t="shared" si="51"/>
        <v>41.60786892420851</v>
      </c>
      <c r="DS48" s="17">
        <f t="shared" si="52"/>
        <v>41.731638012331857</v>
      </c>
      <c r="DT48" s="17">
        <f t="shared" si="53"/>
        <v>42.441621121626177</v>
      </c>
      <c r="DU48" s="17">
        <f t="shared" si="54"/>
        <v>43.679666903205955</v>
      </c>
      <c r="DV48" s="17">
        <f t="shared" si="55"/>
        <v>45.383944568490769</v>
      </c>
      <c r="DW48" s="17">
        <f t="shared" si="56"/>
        <v>47.489520716122748</v>
      </c>
      <c r="DX48" s="17">
        <f t="shared" si="57"/>
        <v>49.92889179041633</v>
      </c>
      <c r="DY48" s="17">
        <f t="shared" si="58"/>
        <v>52.632480962788307</v>
      </c>
      <c r="DZ48" s="17">
        <f t="shared" si="59"/>
        <v>55.529108197572697</v>
      </c>
      <c r="EA48" s="20">
        <f t="shared" si="60"/>
        <v>58.546441380896432</v>
      </c>
    </row>
    <row r="49" spans="5:131" x14ac:dyDescent="0.25">
      <c r="E49" s="1"/>
      <c r="F49" s="15">
        <v>300</v>
      </c>
      <c r="G49" s="16">
        <f t="shared" si="61"/>
        <v>279.99075248592408</v>
      </c>
      <c r="H49" s="16">
        <f t="shared" si="62"/>
        <v>260.15976623116995</v>
      </c>
      <c r="I49" s="16">
        <f t="shared" si="63"/>
        <v>240.68189080487434</v>
      </c>
      <c r="J49" s="16">
        <f t="shared" si="64"/>
        <v>221.72527278961985</v>
      </c>
      <c r="K49" s="16">
        <f t="shared" si="65"/>
        <v>203.44829810209515</v>
      </c>
      <c r="L49" s="16">
        <f t="shared" si="66"/>
        <v>185.99686738580408</v>
      </c>
      <c r="M49" s="16">
        <f t="shared" si="67"/>
        <v>169.50208465650348</v>
      </c>
      <c r="N49" s="16">
        <f t="shared" si="68"/>
        <v>154.0784161071449</v>
      </c>
      <c r="O49" s="16">
        <f t="shared" si="69"/>
        <v>139.8223504864811</v>
      </c>
      <c r="P49" s="16">
        <f t="shared" si="70"/>
        <v>126.81156664573932</v>
      </c>
      <c r="Q49" s="16">
        <f t="shared" si="71"/>
        <v>115.10458953398101</v>
      </c>
      <c r="R49" s="16">
        <f t="shared" si="72"/>
        <v>104.74089473192745</v>
      </c>
      <c r="S49" s="16">
        <f t="shared" si="14"/>
        <v>95.741404816158351</v>
      </c>
      <c r="T49" s="16">
        <f t="shared" si="15"/>
        <v>88.109309271680473</v>
      </c>
      <c r="U49" s="16">
        <f t="shared" si="16"/>
        <v>81.831133667011059</v>
      </c>
      <c r="V49" s="16">
        <f t="shared" si="17"/>
        <v>76.877983235760027</v>
      </c>
      <c r="W49" s="16">
        <f t="shared" si="18"/>
        <v>73.206890301362364</v>
      </c>
      <c r="X49" s="16">
        <f t="shared" si="19"/>
        <v>70.762203217829011</v>
      </c>
      <c r="Y49" s="16">
        <f t="shared" si="20"/>
        <v>69.476965524833446</v>
      </c>
      <c r="Z49" s="16">
        <f t="shared" si="21"/>
        <v>69.274246568514428</v>
      </c>
      <c r="AA49" s="16">
        <f t="shared" si="22"/>
        <v>70.068397679613653</v>
      </c>
      <c r="AB49" s="16">
        <f t="shared" si="23"/>
        <v>71.766220025098932</v>
      </c>
      <c r="AC49" s="16">
        <f t="shared" si="24"/>
        <v>74.268040586317142</v>
      </c>
      <c r="AD49" s="16">
        <f t="shared" si="25"/>
        <v>77.468700787505355</v>
      </c>
      <c r="AE49" s="16">
        <f t="shared" si="26"/>
        <v>81.25846784535824</v>
      </c>
      <c r="AF49" s="16">
        <f t="shared" si="27"/>
        <v>85.523881987496111</v>
      </c>
      <c r="AG49" s="16">
        <f t="shared" si="28"/>
        <v>90.148553619712743</v>
      </c>
      <c r="AH49" s="16">
        <f t="shared" si="8"/>
        <v>95.013923835586709</v>
      </c>
      <c r="AI49" s="15">
        <v>100</v>
      </c>
      <c r="AK49" s="1"/>
      <c r="AL49" s="20">
        <f t="shared" si="13"/>
        <v>-1076400000</v>
      </c>
      <c r="AM49" s="17">
        <f t="shared" si="73"/>
        <v>-1003917198.4116828</v>
      </c>
      <c r="AN49" s="17">
        <f t="shared" si="74"/>
        <v>-932087196.686463</v>
      </c>
      <c r="AO49" s="17">
        <f t="shared" si="75"/>
        <v>-861550087.78753555</v>
      </c>
      <c r="AP49" s="17">
        <f t="shared" si="76"/>
        <v>-792921010.59150076</v>
      </c>
      <c r="AQ49" s="17">
        <f t="shared" si="77"/>
        <v>-726778794.18320286</v>
      </c>
      <c r="AR49" s="17">
        <f t="shared" si="78"/>
        <v>-663655871.77779365</v>
      </c>
      <c r="AS49" s="17">
        <f t="shared" si="79"/>
        <v>-604029767.4310106</v>
      </c>
      <c r="AT49" s="17">
        <f t="shared" si="80"/>
        <v>-548316368.30248761</v>
      </c>
      <c r="AU49" s="17">
        <f t="shared" si="81"/>
        <v>-496865096.45168757</v>
      </c>
      <c r="AV49" s="17">
        <f t="shared" si="82"/>
        <v>-449955994.41316724</v>
      </c>
      <c r="AW49" s="17">
        <f t="shared" si="83"/>
        <v>-407798645.30460012</v>
      </c>
      <c r="AX49" s="17">
        <f t="shared" si="84"/>
        <v>-370532767.27507567</v>
      </c>
      <c r="AY49" s="17">
        <f t="shared" si="85"/>
        <v>-338230258.61559898</v>
      </c>
      <c r="AZ49" s="17">
        <f t="shared" si="86"/>
        <v>-310898426.98764652</v>
      </c>
      <c r="BA49" s="17">
        <f t="shared" si="87"/>
        <v>-288484115.21134931</v>
      </c>
      <c r="BB49" s="17">
        <f t="shared" si="88"/>
        <v>-270878436.21757996</v>
      </c>
      <c r="BC49" s="17">
        <f t="shared" si="89"/>
        <v>-257921848.72663453</v>
      </c>
      <c r="BD49" s="17">
        <f t="shared" si="90"/>
        <v>-249409339.23333597</v>
      </c>
      <c r="BE49" s="17">
        <f t="shared" si="91"/>
        <v>-245095520.3183957</v>
      </c>
      <c r="BF49" s="17">
        <f t="shared" si="92"/>
        <v>-244699505.1450156</v>
      </c>
      <c r="BG49" s="17">
        <f t="shared" si="93"/>
        <v>-247909468.3371079</v>
      </c>
      <c r="BH49" s="17">
        <f t="shared" si="94"/>
        <v>-254386849.95267045</v>
      </c>
      <c r="BI49" s="17">
        <f t="shared" si="95"/>
        <v>-263770198.59251806</v>
      </c>
      <c r="BJ49" s="17">
        <f t="shared" si="29"/>
        <v>-275678679.63987631</v>
      </c>
      <c r="BK49" s="17">
        <f t="shared" si="30"/>
        <v>-289715294.31888068</v>
      </c>
      <c r="BL49" s="17">
        <f t="shared" si="31"/>
        <v>-305469865.0450173</v>
      </c>
      <c r="BM49" s="17">
        <f t="shared" si="32"/>
        <v>-322521843.84679276</v>
      </c>
      <c r="BN49" s="17">
        <f t="shared" si="33"/>
        <v>-340442995.68956584</v>
      </c>
      <c r="BO49" s="20">
        <f t="shared" si="34"/>
        <v>-358800000</v>
      </c>
      <c r="BQ49" s="1"/>
      <c r="BR49" s="20">
        <v>0</v>
      </c>
      <c r="BS49" s="18">
        <f t="shared" si="10"/>
        <v>0.34159220146222585</v>
      </c>
      <c r="BT49" s="18">
        <f t="shared" si="35"/>
        <v>0.38671628039714145</v>
      </c>
      <c r="BU49" s="18">
        <f t="shared" si="35"/>
        <v>0.39358441341045358</v>
      </c>
      <c r="BV49" s="18">
        <f t="shared" si="35"/>
        <v>0.39465123071155617</v>
      </c>
      <c r="BW49" s="18">
        <f t="shared" si="35"/>
        <v>0.39481745705771343</v>
      </c>
      <c r="BX49" s="18">
        <f t="shared" si="35"/>
        <v>0.39484337025824812</v>
      </c>
      <c r="BY49" s="18">
        <f t="shared" si="35"/>
        <v>0.39484741020089803</v>
      </c>
      <c r="BZ49" s="18">
        <f t="shared" si="35"/>
        <v>0.39484804004704999</v>
      </c>
      <c r="CA49" s="18">
        <f t="shared" si="35"/>
        <v>0.3948481382432229</v>
      </c>
      <c r="CB49" s="18">
        <f t="shared" si="35"/>
        <v>0.39484815355250291</v>
      </c>
      <c r="CC49" s="18">
        <f t="shared" si="35"/>
        <v>0.39484815593929723</v>
      </c>
      <c r="CD49" s="18">
        <f t="shared" si="35"/>
        <v>0.39484815631141057</v>
      </c>
      <c r="CE49" s="18">
        <f t="shared" si="35"/>
        <v>0.39484815636942489</v>
      </c>
      <c r="CF49" s="18">
        <f t="shared" si="35"/>
        <v>0.39484815637846959</v>
      </c>
      <c r="CG49" s="18">
        <f t="shared" si="35"/>
        <v>0.39484815637987974</v>
      </c>
      <c r="CH49" s="18">
        <f t="shared" si="35"/>
        <v>0.39484815638009962</v>
      </c>
      <c r="CI49" s="18">
        <f t="shared" si="35"/>
        <v>0.39484815638013382</v>
      </c>
      <c r="CJ49" s="18">
        <f t="shared" si="35"/>
        <v>0.39484815638013915</v>
      </c>
      <c r="CK49" s="18">
        <f t="shared" si="35"/>
        <v>0.39484815638013998</v>
      </c>
      <c r="CL49" s="18">
        <f t="shared" si="35"/>
        <v>0.39484815638014015</v>
      </c>
      <c r="CM49" s="18">
        <f t="shared" si="35"/>
        <v>0.39484815638014015</v>
      </c>
      <c r="CN49" s="18">
        <f t="shared" si="35"/>
        <v>0.39484815638014015</v>
      </c>
      <c r="CO49" s="18">
        <f t="shared" si="35"/>
        <v>0.39484815638014015</v>
      </c>
      <c r="CP49" s="18">
        <f t="shared" si="35"/>
        <v>0.39484815638014015</v>
      </c>
      <c r="CQ49" s="18">
        <f t="shared" si="35"/>
        <v>0.39484815638014015</v>
      </c>
      <c r="CR49" s="18">
        <f t="shared" si="35"/>
        <v>0.39484815638014015</v>
      </c>
      <c r="CS49" s="18">
        <f t="shared" si="35"/>
        <v>0.39484815638014015</v>
      </c>
      <c r="CT49" s="18">
        <f t="shared" si="35"/>
        <v>0.39484815638014015</v>
      </c>
      <c r="CU49" s="20">
        <f t="shared" si="35"/>
        <v>0.39484815638014015</v>
      </c>
      <c r="CW49" s="1"/>
      <c r="CX49" s="20">
        <f t="shared" si="11"/>
        <v>300</v>
      </c>
      <c r="CY49" s="17">
        <f t="shared" si="12"/>
        <v>191.12220520712069</v>
      </c>
      <c r="CZ49" s="17">
        <f t="shared" si="96"/>
        <v>167.08416066015798</v>
      </c>
      <c r="DA49" s="17">
        <f t="shared" si="97"/>
        <v>153.41427937569901</v>
      </c>
      <c r="DB49" s="17">
        <f t="shared" si="98"/>
        <v>141.43415155745643</v>
      </c>
      <c r="DC49" s="17">
        <f t="shared" si="36"/>
        <v>130.01348790013122</v>
      </c>
      <c r="DD49" s="17">
        <f t="shared" si="37"/>
        <v>119.07009301423138</v>
      </c>
      <c r="DE49" s="17">
        <f t="shared" si="38"/>
        <v>108.66462108874097</v>
      </c>
      <c r="DF49" s="17">
        <f t="shared" si="39"/>
        <v>98.869835062786166</v>
      </c>
      <c r="DG49" s="17">
        <f t="shared" si="40"/>
        <v>89.751039488704549</v>
      </c>
      <c r="DH49" s="17">
        <f t="shared" si="41"/>
        <v>81.362732002828167</v>
      </c>
      <c r="DI49" s="17">
        <f t="shared" si="42"/>
        <v>73.747840397647408</v>
      </c>
      <c r="DJ49" s="17">
        <f t="shared" si="43"/>
        <v>66.937577557602935</v>
      </c>
      <c r="DK49" s="17">
        <f t="shared" si="44"/>
        <v>60.951606491251844</v>
      </c>
      <c r="DL49" s="17">
        <f t="shared" si="45"/>
        <v>55.79843700890104</v>
      </c>
      <c r="DM49" s="17">
        <f t="shared" si="46"/>
        <v>51.47600372016791</v>
      </c>
      <c r="DN49" s="17">
        <f t="shared" si="47"/>
        <v>47.9723775659469</v>
      </c>
      <c r="DO49" s="17">
        <f t="shared" si="48"/>
        <v>45.266564819406206</v>
      </c>
      <c r="DP49" s="17">
        <f t="shared" si="49"/>
        <v>43.329351469462033</v>
      </c>
      <c r="DQ49" s="17">
        <f t="shared" si="50"/>
        <v>42.124156982632293</v>
      </c>
      <c r="DR49" s="17">
        <f t="shared" si="51"/>
        <v>41.607868924208489</v>
      </c>
      <c r="DS49" s="17">
        <f t="shared" si="52"/>
        <v>41.731638012331842</v>
      </c>
      <c r="DT49" s="17">
        <f t="shared" si="53"/>
        <v>42.441621121626177</v>
      </c>
      <c r="DU49" s="17">
        <f t="shared" si="54"/>
        <v>43.679666903205941</v>
      </c>
      <c r="DV49" s="17">
        <f t="shared" si="55"/>
        <v>45.383944568490755</v>
      </c>
      <c r="DW49" s="17">
        <f t="shared" si="56"/>
        <v>47.489520716122733</v>
      </c>
      <c r="DX49" s="17">
        <f t="shared" si="57"/>
        <v>49.928891790416316</v>
      </c>
      <c r="DY49" s="17">
        <f t="shared" si="58"/>
        <v>52.632480962788286</v>
      </c>
      <c r="DZ49" s="17">
        <f t="shared" si="59"/>
        <v>55.529108197572697</v>
      </c>
      <c r="EA49" s="20">
        <f t="shared" si="60"/>
        <v>58.546441380896432</v>
      </c>
    </row>
    <row r="50" spans="5:131" x14ac:dyDescent="0.25">
      <c r="E50" s="1"/>
      <c r="F50" s="15">
        <v>300</v>
      </c>
      <c r="G50" s="16">
        <f t="shared" si="61"/>
        <v>279.99075248592402</v>
      </c>
      <c r="H50" s="16">
        <f t="shared" si="62"/>
        <v>260.1597662311699</v>
      </c>
      <c r="I50" s="16">
        <f t="shared" si="63"/>
        <v>240.68189080487429</v>
      </c>
      <c r="J50" s="16">
        <f t="shared" si="64"/>
        <v>221.72527278961982</v>
      </c>
      <c r="K50" s="16">
        <f t="shared" si="65"/>
        <v>203.44829810209512</v>
      </c>
      <c r="L50" s="16">
        <f t="shared" si="66"/>
        <v>185.99686738580405</v>
      </c>
      <c r="M50" s="16">
        <f t="shared" si="67"/>
        <v>169.50208465650346</v>
      </c>
      <c r="N50" s="16">
        <f t="shared" si="68"/>
        <v>154.0784161071449</v>
      </c>
      <c r="O50" s="16">
        <f t="shared" si="69"/>
        <v>139.82235048648107</v>
      </c>
      <c r="P50" s="16">
        <f t="shared" si="70"/>
        <v>126.8115666457393</v>
      </c>
      <c r="Q50" s="16">
        <f t="shared" si="71"/>
        <v>115.104589533981</v>
      </c>
      <c r="R50" s="16">
        <f t="shared" si="72"/>
        <v>104.74089473192743</v>
      </c>
      <c r="S50" s="16">
        <f t="shared" si="14"/>
        <v>95.741404816158337</v>
      </c>
      <c r="T50" s="16">
        <f t="shared" si="15"/>
        <v>88.109309271680445</v>
      </c>
      <c r="U50" s="16">
        <f t="shared" si="16"/>
        <v>81.831133667011045</v>
      </c>
      <c r="V50" s="16">
        <f t="shared" si="17"/>
        <v>76.877983235760013</v>
      </c>
      <c r="W50" s="16">
        <f t="shared" si="18"/>
        <v>73.206890301362336</v>
      </c>
      <c r="X50" s="16">
        <f t="shared" si="19"/>
        <v>70.762203217828983</v>
      </c>
      <c r="Y50" s="16">
        <f t="shared" si="20"/>
        <v>69.476965524833446</v>
      </c>
      <c r="Z50" s="16">
        <f t="shared" si="21"/>
        <v>69.274246568514414</v>
      </c>
      <c r="AA50" s="16">
        <f t="shared" si="22"/>
        <v>70.068397679613625</v>
      </c>
      <c r="AB50" s="16">
        <f t="shared" si="23"/>
        <v>71.766220025098889</v>
      </c>
      <c r="AC50" s="16">
        <f t="shared" si="24"/>
        <v>74.268040586317113</v>
      </c>
      <c r="AD50" s="16">
        <f t="shared" si="25"/>
        <v>77.468700787505341</v>
      </c>
      <c r="AE50" s="16">
        <f t="shared" si="26"/>
        <v>81.25846784535824</v>
      </c>
      <c r="AF50" s="16">
        <f t="shared" si="27"/>
        <v>85.523881987496111</v>
      </c>
      <c r="AG50" s="16">
        <f t="shared" si="28"/>
        <v>90.148553619712743</v>
      </c>
      <c r="AH50" s="16">
        <f t="shared" si="8"/>
        <v>95.013923835586709</v>
      </c>
      <c r="AI50" s="15">
        <v>100</v>
      </c>
      <c r="AK50" s="1"/>
      <c r="AL50" s="20">
        <f t="shared" si="13"/>
        <v>-1076400000</v>
      </c>
      <c r="AM50" s="17">
        <f t="shared" si="73"/>
        <v>-1003917198.4116826</v>
      </c>
      <c r="AN50" s="17">
        <f t="shared" si="74"/>
        <v>-932087196.686463</v>
      </c>
      <c r="AO50" s="17">
        <f t="shared" si="75"/>
        <v>-861550087.78753543</v>
      </c>
      <c r="AP50" s="17">
        <f t="shared" si="76"/>
        <v>-792921010.59150052</v>
      </c>
      <c r="AQ50" s="17">
        <f t="shared" si="77"/>
        <v>-726778794.18320274</v>
      </c>
      <c r="AR50" s="17">
        <f t="shared" si="78"/>
        <v>-663655871.77779353</v>
      </c>
      <c r="AS50" s="17">
        <f t="shared" si="79"/>
        <v>-604029767.43101037</v>
      </c>
      <c r="AT50" s="17">
        <f t="shared" si="80"/>
        <v>-548316368.30248761</v>
      </c>
      <c r="AU50" s="17">
        <f t="shared" si="81"/>
        <v>-496865096.45168746</v>
      </c>
      <c r="AV50" s="17">
        <f t="shared" si="82"/>
        <v>-449955994.41316718</v>
      </c>
      <c r="AW50" s="17">
        <f t="shared" si="83"/>
        <v>-407798645.3046</v>
      </c>
      <c r="AX50" s="17">
        <f t="shared" si="84"/>
        <v>-370532767.27507555</v>
      </c>
      <c r="AY50" s="17">
        <f t="shared" si="85"/>
        <v>-338230258.61559892</v>
      </c>
      <c r="AZ50" s="17">
        <f t="shared" si="86"/>
        <v>-310898426.98764646</v>
      </c>
      <c r="BA50" s="17">
        <f t="shared" si="87"/>
        <v>-288484115.21134919</v>
      </c>
      <c r="BB50" s="17">
        <f t="shared" si="88"/>
        <v>-270878436.21757996</v>
      </c>
      <c r="BC50" s="17">
        <f t="shared" si="89"/>
        <v>-257921848.72663447</v>
      </c>
      <c r="BD50" s="17">
        <f t="shared" si="90"/>
        <v>-249409339.23333591</v>
      </c>
      <c r="BE50" s="17">
        <f t="shared" si="91"/>
        <v>-245095520.31839561</v>
      </c>
      <c r="BF50" s="17">
        <f t="shared" si="92"/>
        <v>-244699505.14501551</v>
      </c>
      <c r="BG50" s="17">
        <f t="shared" si="93"/>
        <v>-247909468.33710784</v>
      </c>
      <c r="BH50" s="17">
        <f t="shared" si="94"/>
        <v>-254386849.95267034</v>
      </c>
      <c r="BI50" s="17">
        <f t="shared" si="95"/>
        <v>-263770198.59251794</v>
      </c>
      <c r="BJ50" s="17">
        <f t="shared" si="29"/>
        <v>-275678679.63987625</v>
      </c>
      <c r="BK50" s="17">
        <f t="shared" si="30"/>
        <v>-289715294.31888062</v>
      </c>
      <c r="BL50" s="17">
        <f t="shared" si="31"/>
        <v>-305469865.0450173</v>
      </c>
      <c r="BM50" s="17">
        <f t="shared" si="32"/>
        <v>-322521843.84679276</v>
      </c>
      <c r="BN50" s="17">
        <f t="shared" si="33"/>
        <v>-340442995.68956584</v>
      </c>
      <c r="BO50" s="20">
        <f t="shared" si="34"/>
        <v>-358800000</v>
      </c>
      <c r="BQ50" s="1"/>
      <c r="BR50" s="20">
        <v>0</v>
      </c>
      <c r="BS50" s="18">
        <f t="shared" si="10"/>
        <v>0.34159220146222585</v>
      </c>
      <c r="BT50" s="18">
        <f t="shared" si="35"/>
        <v>0.38671628039714145</v>
      </c>
      <c r="BU50" s="18">
        <f t="shared" si="35"/>
        <v>0.39358441341045358</v>
      </c>
      <c r="BV50" s="18">
        <f t="shared" si="35"/>
        <v>0.39465123071155617</v>
      </c>
      <c r="BW50" s="18">
        <f t="shared" si="35"/>
        <v>0.39481745705771343</v>
      </c>
      <c r="BX50" s="18">
        <f t="shared" si="35"/>
        <v>0.39484337025824812</v>
      </c>
      <c r="BY50" s="18">
        <f t="shared" si="35"/>
        <v>0.39484741020089803</v>
      </c>
      <c r="BZ50" s="18">
        <f t="shared" si="35"/>
        <v>0.39484804004704999</v>
      </c>
      <c r="CA50" s="18">
        <f t="shared" si="35"/>
        <v>0.3948481382432229</v>
      </c>
      <c r="CB50" s="18">
        <f t="shared" si="35"/>
        <v>0.39484815355250291</v>
      </c>
      <c r="CC50" s="18">
        <f t="shared" si="35"/>
        <v>0.39484815593929723</v>
      </c>
      <c r="CD50" s="18">
        <f t="shared" si="35"/>
        <v>0.39484815631141057</v>
      </c>
      <c r="CE50" s="18">
        <f t="shared" si="35"/>
        <v>0.39484815636942489</v>
      </c>
      <c r="CF50" s="18">
        <f t="shared" si="35"/>
        <v>0.39484815637846959</v>
      </c>
      <c r="CG50" s="18">
        <f t="shared" si="35"/>
        <v>0.39484815637987974</v>
      </c>
      <c r="CH50" s="18">
        <f t="shared" si="35"/>
        <v>0.39484815638009962</v>
      </c>
      <c r="CI50" s="18">
        <f t="shared" si="35"/>
        <v>0.39484815638013382</v>
      </c>
      <c r="CJ50" s="18">
        <f t="shared" si="35"/>
        <v>0.39484815638013915</v>
      </c>
      <c r="CK50" s="18">
        <f t="shared" si="35"/>
        <v>0.39484815638013998</v>
      </c>
      <c r="CL50" s="18">
        <f t="shared" si="35"/>
        <v>0.39484815638014015</v>
      </c>
      <c r="CM50" s="18">
        <f t="shared" si="35"/>
        <v>0.39484815638014015</v>
      </c>
      <c r="CN50" s="18">
        <f t="shared" si="35"/>
        <v>0.39484815638014015</v>
      </c>
      <c r="CO50" s="18">
        <f t="shared" si="35"/>
        <v>0.39484815638014015</v>
      </c>
      <c r="CP50" s="18">
        <f t="shared" si="35"/>
        <v>0.39484815638014015</v>
      </c>
      <c r="CQ50" s="18">
        <f t="shared" si="35"/>
        <v>0.39484815638014015</v>
      </c>
      <c r="CR50" s="18">
        <f t="shared" si="35"/>
        <v>0.39484815638014015</v>
      </c>
      <c r="CS50" s="18">
        <f t="shared" si="35"/>
        <v>0.39484815638014015</v>
      </c>
      <c r="CT50" s="18">
        <f t="shared" si="35"/>
        <v>0.39484815638014015</v>
      </c>
      <c r="CU50" s="20">
        <f t="shared" si="35"/>
        <v>0.39484815638014015</v>
      </c>
      <c r="CW50" s="1"/>
      <c r="CX50" s="20">
        <f t="shared" si="11"/>
        <v>300</v>
      </c>
      <c r="CY50" s="17">
        <f t="shared" si="12"/>
        <v>191.12220520712063</v>
      </c>
      <c r="CZ50" s="17">
        <f t="shared" si="96"/>
        <v>167.08416066015798</v>
      </c>
      <c r="DA50" s="17">
        <f t="shared" si="97"/>
        <v>153.41427937569898</v>
      </c>
      <c r="DB50" s="17">
        <f t="shared" si="98"/>
        <v>141.43415155745643</v>
      </c>
      <c r="DC50" s="17">
        <f t="shared" si="36"/>
        <v>130.01348790013122</v>
      </c>
      <c r="DD50" s="17">
        <f t="shared" si="37"/>
        <v>119.07009301423135</v>
      </c>
      <c r="DE50" s="17">
        <f t="shared" si="38"/>
        <v>108.66462108874096</v>
      </c>
      <c r="DF50" s="17">
        <f t="shared" si="39"/>
        <v>98.869835062786166</v>
      </c>
      <c r="DG50" s="17">
        <f t="shared" si="40"/>
        <v>89.751039488704521</v>
      </c>
      <c r="DH50" s="17">
        <f t="shared" si="41"/>
        <v>81.362732002828153</v>
      </c>
      <c r="DI50" s="17">
        <f t="shared" si="42"/>
        <v>73.747840397647394</v>
      </c>
      <c r="DJ50" s="17">
        <f t="shared" si="43"/>
        <v>66.937577557602907</v>
      </c>
      <c r="DK50" s="17">
        <f t="shared" si="44"/>
        <v>60.95160649125183</v>
      </c>
      <c r="DL50" s="17">
        <f t="shared" si="45"/>
        <v>55.798437008901026</v>
      </c>
      <c r="DM50" s="17">
        <f t="shared" si="46"/>
        <v>51.476003720167895</v>
      </c>
      <c r="DN50" s="17">
        <f t="shared" si="47"/>
        <v>47.9723775659469</v>
      </c>
      <c r="DO50" s="17">
        <f t="shared" si="48"/>
        <v>45.266564819406192</v>
      </c>
      <c r="DP50" s="17">
        <f t="shared" si="49"/>
        <v>43.329351469462019</v>
      </c>
      <c r="DQ50" s="17">
        <f t="shared" si="50"/>
        <v>42.124156982632286</v>
      </c>
      <c r="DR50" s="17">
        <f t="shared" si="51"/>
        <v>41.607868924208482</v>
      </c>
      <c r="DS50" s="17">
        <f t="shared" si="52"/>
        <v>41.731638012331835</v>
      </c>
      <c r="DT50" s="17">
        <f t="shared" si="53"/>
        <v>42.441621121626156</v>
      </c>
      <c r="DU50" s="17">
        <f t="shared" si="54"/>
        <v>43.67966690320592</v>
      </c>
      <c r="DV50" s="17">
        <f t="shared" si="55"/>
        <v>45.38394456849074</v>
      </c>
      <c r="DW50" s="17">
        <f t="shared" si="56"/>
        <v>47.489520716122726</v>
      </c>
      <c r="DX50" s="17">
        <f t="shared" si="57"/>
        <v>49.928891790416316</v>
      </c>
      <c r="DY50" s="17">
        <f t="shared" si="58"/>
        <v>52.632480962788286</v>
      </c>
      <c r="DZ50" s="17">
        <f t="shared" si="59"/>
        <v>55.529108197572697</v>
      </c>
      <c r="EA50" s="20">
        <f t="shared" si="60"/>
        <v>58.546441380896432</v>
      </c>
    </row>
    <row r="51" spans="5:131" x14ac:dyDescent="0.25">
      <c r="E51" s="1"/>
      <c r="F51" s="15">
        <v>300</v>
      </c>
      <c r="G51" s="16">
        <f t="shared" si="61"/>
        <v>279.99075248592408</v>
      </c>
      <c r="H51" s="16">
        <f t="shared" si="62"/>
        <v>260.15976623116995</v>
      </c>
      <c r="I51" s="16">
        <f t="shared" si="63"/>
        <v>240.68189080487434</v>
      </c>
      <c r="J51" s="16">
        <f t="shared" si="64"/>
        <v>221.72527278961985</v>
      </c>
      <c r="K51" s="16">
        <f t="shared" si="65"/>
        <v>203.44829810209515</v>
      </c>
      <c r="L51" s="16">
        <f t="shared" si="66"/>
        <v>185.99686738580408</v>
      </c>
      <c r="M51" s="16">
        <f t="shared" si="67"/>
        <v>169.50208465650348</v>
      </c>
      <c r="N51" s="16">
        <f t="shared" si="68"/>
        <v>154.07841610714493</v>
      </c>
      <c r="O51" s="16">
        <f t="shared" si="69"/>
        <v>139.8223504864811</v>
      </c>
      <c r="P51" s="16">
        <f t="shared" si="70"/>
        <v>126.81156664573932</v>
      </c>
      <c r="Q51" s="16">
        <f t="shared" si="71"/>
        <v>115.10458953398101</v>
      </c>
      <c r="R51" s="16">
        <f t="shared" si="72"/>
        <v>104.74089473192745</v>
      </c>
      <c r="S51" s="16">
        <f t="shared" si="14"/>
        <v>95.741404816158337</v>
      </c>
      <c r="T51" s="16">
        <f t="shared" si="15"/>
        <v>88.109309271680445</v>
      </c>
      <c r="U51" s="16">
        <f t="shared" si="16"/>
        <v>81.831133667011045</v>
      </c>
      <c r="V51" s="16">
        <f t="shared" si="17"/>
        <v>76.877983235760013</v>
      </c>
      <c r="W51" s="16">
        <f t="shared" si="18"/>
        <v>73.206890301362336</v>
      </c>
      <c r="X51" s="16">
        <f t="shared" si="19"/>
        <v>70.762203217828983</v>
      </c>
      <c r="Y51" s="16">
        <f t="shared" si="20"/>
        <v>69.476965524833446</v>
      </c>
      <c r="Z51" s="16">
        <f t="shared" si="21"/>
        <v>69.274246568514414</v>
      </c>
      <c r="AA51" s="16">
        <f t="shared" si="22"/>
        <v>70.068397679613639</v>
      </c>
      <c r="AB51" s="16">
        <f t="shared" si="23"/>
        <v>71.766220025098903</v>
      </c>
      <c r="AC51" s="16">
        <f t="shared" si="24"/>
        <v>74.268040586317127</v>
      </c>
      <c r="AD51" s="16">
        <f t="shared" si="25"/>
        <v>77.468700787505355</v>
      </c>
      <c r="AE51" s="16">
        <f t="shared" si="26"/>
        <v>81.25846784535824</v>
      </c>
      <c r="AF51" s="16">
        <f t="shared" si="27"/>
        <v>85.523881987496111</v>
      </c>
      <c r="AG51" s="16">
        <f t="shared" si="28"/>
        <v>90.148553619712743</v>
      </c>
      <c r="AH51" s="16">
        <f t="shared" si="8"/>
        <v>95.013923835586709</v>
      </c>
      <c r="AI51" s="15">
        <v>100</v>
      </c>
      <c r="AK51" s="1"/>
      <c r="AL51" s="20">
        <f t="shared" si="13"/>
        <v>-1076400000</v>
      </c>
      <c r="AM51" s="17">
        <f t="shared" si="73"/>
        <v>-1003917198.4116828</v>
      </c>
      <c r="AN51" s="17">
        <f t="shared" si="74"/>
        <v>-932087196.686463</v>
      </c>
      <c r="AO51" s="17">
        <f t="shared" si="75"/>
        <v>-861550087.78753555</v>
      </c>
      <c r="AP51" s="17">
        <f t="shared" si="76"/>
        <v>-792921010.59150076</v>
      </c>
      <c r="AQ51" s="17">
        <f t="shared" si="77"/>
        <v>-726778794.18320286</v>
      </c>
      <c r="AR51" s="17">
        <f t="shared" si="78"/>
        <v>-663655871.77779353</v>
      </c>
      <c r="AS51" s="17">
        <f t="shared" si="79"/>
        <v>-604029767.43101048</v>
      </c>
      <c r="AT51" s="17">
        <f t="shared" si="80"/>
        <v>-548316368.30248773</v>
      </c>
      <c r="AU51" s="17">
        <f t="shared" si="81"/>
        <v>-496865096.45168757</v>
      </c>
      <c r="AV51" s="17">
        <f t="shared" si="82"/>
        <v>-449955994.41316724</v>
      </c>
      <c r="AW51" s="17">
        <f t="shared" si="83"/>
        <v>-407798645.3046</v>
      </c>
      <c r="AX51" s="17">
        <f t="shared" si="84"/>
        <v>-370532767.27507555</v>
      </c>
      <c r="AY51" s="17">
        <f t="shared" si="85"/>
        <v>-338230258.61559892</v>
      </c>
      <c r="AZ51" s="17">
        <f t="shared" si="86"/>
        <v>-310898426.98764646</v>
      </c>
      <c r="BA51" s="17">
        <f t="shared" si="87"/>
        <v>-288484115.21134919</v>
      </c>
      <c r="BB51" s="17">
        <f t="shared" si="88"/>
        <v>-270878436.21757996</v>
      </c>
      <c r="BC51" s="17">
        <f t="shared" si="89"/>
        <v>-257921848.72663447</v>
      </c>
      <c r="BD51" s="17">
        <f t="shared" si="90"/>
        <v>-249409339.23333591</v>
      </c>
      <c r="BE51" s="17">
        <f t="shared" si="91"/>
        <v>-245095520.31839561</v>
      </c>
      <c r="BF51" s="17">
        <f t="shared" si="92"/>
        <v>-244699505.14501551</v>
      </c>
      <c r="BG51" s="17">
        <f t="shared" si="93"/>
        <v>-247909468.33710784</v>
      </c>
      <c r="BH51" s="17">
        <f t="shared" si="94"/>
        <v>-254386849.9526704</v>
      </c>
      <c r="BI51" s="17">
        <f t="shared" si="95"/>
        <v>-263770198.59251794</v>
      </c>
      <c r="BJ51" s="17">
        <f t="shared" si="29"/>
        <v>-275678679.63987631</v>
      </c>
      <c r="BK51" s="17">
        <f t="shared" si="30"/>
        <v>-289715294.31888068</v>
      </c>
      <c r="BL51" s="17">
        <f t="shared" si="31"/>
        <v>-305469865.0450173</v>
      </c>
      <c r="BM51" s="17">
        <f t="shared" si="32"/>
        <v>-322521843.84679276</v>
      </c>
      <c r="BN51" s="17">
        <f t="shared" si="33"/>
        <v>-340442995.68956584</v>
      </c>
      <c r="BO51" s="20">
        <f t="shared" si="34"/>
        <v>-358800000</v>
      </c>
      <c r="BQ51" s="1"/>
      <c r="BR51" s="20">
        <v>0</v>
      </c>
      <c r="BS51" s="18">
        <f t="shared" si="10"/>
        <v>0.34159220146222585</v>
      </c>
      <c r="BT51" s="18">
        <f t="shared" si="35"/>
        <v>0.38671628039714145</v>
      </c>
      <c r="BU51" s="18">
        <f t="shared" si="35"/>
        <v>0.39358441341045358</v>
      </c>
      <c r="BV51" s="18">
        <f t="shared" si="35"/>
        <v>0.39465123071155617</v>
      </c>
      <c r="BW51" s="18">
        <f t="shared" si="35"/>
        <v>0.39481745705771343</v>
      </c>
      <c r="BX51" s="18">
        <f t="shared" si="35"/>
        <v>0.39484337025824812</v>
      </c>
      <c r="BY51" s="18">
        <f t="shared" si="35"/>
        <v>0.39484741020089803</v>
      </c>
      <c r="BZ51" s="18">
        <f t="shared" si="35"/>
        <v>0.39484804004704999</v>
      </c>
      <c r="CA51" s="18">
        <f t="shared" si="35"/>
        <v>0.3948481382432229</v>
      </c>
      <c r="CB51" s="18">
        <f t="shared" si="35"/>
        <v>0.39484815355250291</v>
      </c>
      <c r="CC51" s="18">
        <f t="shared" si="35"/>
        <v>0.39484815593929723</v>
      </c>
      <c r="CD51" s="18">
        <f t="shared" si="35"/>
        <v>0.39484815631141057</v>
      </c>
      <c r="CE51" s="18">
        <f t="shared" si="35"/>
        <v>0.39484815636942489</v>
      </c>
      <c r="CF51" s="18">
        <f t="shared" si="35"/>
        <v>0.39484815637846959</v>
      </c>
      <c r="CG51" s="18">
        <f t="shared" si="35"/>
        <v>0.39484815637987974</v>
      </c>
      <c r="CH51" s="18">
        <f t="shared" si="35"/>
        <v>0.39484815638009962</v>
      </c>
      <c r="CI51" s="18">
        <f t="shared" si="35"/>
        <v>0.39484815638013382</v>
      </c>
      <c r="CJ51" s="18">
        <f t="shared" si="35"/>
        <v>0.39484815638013915</v>
      </c>
      <c r="CK51" s="18">
        <f t="shared" si="35"/>
        <v>0.39484815638013998</v>
      </c>
      <c r="CL51" s="18">
        <f t="shared" si="35"/>
        <v>0.39484815638014015</v>
      </c>
      <c r="CM51" s="18">
        <f t="shared" si="35"/>
        <v>0.39484815638014015</v>
      </c>
      <c r="CN51" s="18">
        <f t="shared" si="35"/>
        <v>0.39484815638014015</v>
      </c>
      <c r="CO51" s="18">
        <f t="shared" ref="BT51:CU60" si="99">$C$16/($C$17-($C$18*CN51))</f>
        <v>0.39484815638014015</v>
      </c>
      <c r="CP51" s="18">
        <f t="shared" si="99"/>
        <v>0.39484815638014015</v>
      </c>
      <c r="CQ51" s="18">
        <f t="shared" si="99"/>
        <v>0.39484815638014015</v>
      </c>
      <c r="CR51" s="18">
        <f t="shared" si="99"/>
        <v>0.39484815638014015</v>
      </c>
      <c r="CS51" s="18">
        <f t="shared" si="99"/>
        <v>0.39484815638014015</v>
      </c>
      <c r="CT51" s="18">
        <f t="shared" si="99"/>
        <v>0.39484815638014015</v>
      </c>
      <c r="CU51" s="20">
        <f t="shared" si="99"/>
        <v>0.39484815638014015</v>
      </c>
      <c r="CW51" s="1"/>
      <c r="CX51" s="20">
        <f t="shared" si="11"/>
        <v>300</v>
      </c>
      <c r="CY51" s="17">
        <f t="shared" si="12"/>
        <v>191.12220520712069</v>
      </c>
      <c r="CZ51" s="17">
        <f t="shared" si="96"/>
        <v>167.08416066015798</v>
      </c>
      <c r="DA51" s="17">
        <f t="shared" si="97"/>
        <v>153.41427937569901</v>
      </c>
      <c r="DB51" s="17">
        <f t="shared" si="98"/>
        <v>141.43415155745643</v>
      </c>
      <c r="DC51" s="17">
        <f t="shared" si="36"/>
        <v>130.01348790013122</v>
      </c>
      <c r="DD51" s="17">
        <f t="shared" si="37"/>
        <v>119.07009301423135</v>
      </c>
      <c r="DE51" s="17">
        <f t="shared" si="38"/>
        <v>108.66462108874096</v>
      </c>
      <c r="DF51" s="17">
        <f t="shared" si="39"/>
        <v>98.86983506278618</v>
      </c>
      <c r="DG51" s="17">
        <f t="shared" si="40"/>
        <v>89.751039488704549</v>
      </c>
      <c r="DH51" s="17">
        <f t="shared" si="41"/>
        <v>81.362732002828167</v>
      </c>
      <c r="DI51" s="17">
        <f t="shared" si="42"/>
        <v>73.747840397647408</v>
      </c>
      <c r="DJ51" s="17">
        <f t="shared" si="43"/>
        <v>66.937577557602921</v>
      </c>
      <c r="DK51" s="17">
        <f t="shared" si="44"/>
        <v>60.95160649125183</v>
      </c>
      <c r="DL51" s="17">
        <f t="shared" si="45"/>
        <v>55.798437008901026</v>
      </c>
      <c r="DM51" s="17">
        <f t="shared" si="46"/>
        <v>51.476003720167895</v>
      </c>
      <c r="DN51" s="17">
        <f t="shared" si="47"/>
        <v>47.9723775659469</v>
      </c>
      <c r="DO51" s="17">
        <f t="shared" si="48"/>
        <v>45.266564819406192</v>
      </c>
      <c r="DP51" s="17">
        <f t="shared" si="49"/>
        <v>43.329351469462019</v>
      </c>
      <c r="DQ51" s="17">
        <f t="shared" si="50"/>
        <v>42.124156982632286</v>
      </c>
      <c r="DR51" s="17">
        <f t="shared" si="51"/>
        <v>41.607868924208482</v>
      </c>
      <c r="DS51" s="17">
        <f t="shared" si="52"/>
        <v>41.731638012331835</v>
      </c>
      <c r="DT51" s="17">
        <f t="shared" si="53"/>
        <v>42.441621121626163</v>
      </c>
      <c r="DU51" s="17">
        <f t="shared" si="54"/>
        <v>43.679666903205927</v>
      </c>
      <c r="DV51" s="17">
        <f t="shared" si="55"/>
        <v>45.383944568490747</v>
      </c>
      <c r="DW51" s="17">
        <f t="shared" si="56"/>
        <v>47.489520716122733</v>
      </c>
      <c r="DX51" s="17">
        <f t="shared" si="57"/>
        <v>49.928891790416316</v>
      </c>
      <c r="DY51" s="17">
        <f t="shared" si="58"/>
        <v>52.632480962788286</v>
      </c>
      <c r="DZ51" s="17">
        <f t="shared" si="59"/>
        <v>55.529108197572697</v>
      </c>
      <c r="EA51" s="20">
        <f t="shared" si="60"/>
        <v>58.546441380896432</v>
      </c>
    </row>
    <row r="52" spans="5:131" x14ac:dyDescent="0.25">
      <c r="E52" s="1"/>
      <c r="F52" s="15">
        <v>300</v>
      </c>
      <c r="G52" s="16">
        <f t="shared" si="61"/>
        <v>279.99075248592408</v>
      </c>
      <c r="H52" s="16">
        <f t="shared" si="62"/>
        <v>260.15976623116995</v>
      </c>
      <c r="I52" s="16">
        <f t="shared" si="63"/>
        <v>240.68189080487434</v>
      </c>
      <c r="J52" s="16">
        <f t="shared" si="64"/>
        <v>221.72527278961985</v>
      </c>
      <c r="K52" s="16">
        <f t="shared" si="65"/>
        <v>203.44829810209518</v>
      </c>
      <c r="L52" s="16">
        <f t="shared" si="66"/>
        <v>185.99686738580414</v>
      </c>
      <c r="M52" s="16">
        <f t="shared" si="67"/>
        <v>169.50208465650351</v>
      </c>
      <c r="N52" s="16">
        <f t="shared" si="68"/>
        <v>154.07841610714496</v>
      </c>
      <c r="O52" s="16">
        <f t="shared" si="69"/>
        <v>139.82235048648113</v>
      </c>
      <c r="P52" s="16">
        <f t="shared" si="70"/>
        <v>126.81156664573933</v>
      </c>
      <c r="Q52" s="16">
        <f t="shared" si="71"/>
        <v>115.10458953398101</v>
      </c>
      <c r="R52" s="16">
        <f t="shared" si="72"/>
        <v>104.74089473192745</v>
      </c>
      <c r="S52" s="16">
        <f t="shared" si="14"/>
        <v>95.741404816158351</v>
      </c>
      <c r="T52" s="16">
        <f t="shared" si="15"/>
        <v>88.109309271680473</v>
      </c>
      <c r="U52" s="16">
        <f t="shared" si="16"/>
        <v>81.831133667011045</v>
      </c>
      <c r="V52" s="16">
        <f t="shared" si="17"/>
        <v>76.877983235760013</v>
      </c>
      <c r="W52" s="16">
        <f t="shared" si="18"/>
        <v>73.206890301362336</v>
      </c>
      <c r="X52" s="16">
        <f t="shared" si="19"/>
        <v>70.762203217828997</v>
      </c>
      <c r="Y52" s="16">
        <f t="shared" si="20"/>
        <v>69.476965524833446</v>
      </c>
      <c r="Z52" s="16">
        <f t="shared" si="21"/>
        <v>69.274246568514428</v>
      </c>
      <c r="AA52" s="16">
        <f t="shared" si="22"/>
        <v>70.068397679613639</v>
      </c>
      <c r="AB52" s="16">
        <f t="shared" si="23"/>
        <v>71.766220025098903</v>
      </c>
      <c r="AC52" s="16">
        <f t="shared" si="24"/>
        <v>74.268040586317142</v>
      </c>
      <c r="AD52" s="16">
        <f t="shared" si="25"/>
        <v>77.468700787505355</v>
      </c>
      <c r="AE52" s="16">
        <f t="shared" si="26"/>
        <v>81.258467845358268</v>
      </c>
      <c r="AF52" s="16">
        <f t="shared" si="27"/>
        <v>85.523881987496125</v>
      </c>
      <c r="AG52" s="16">
        <f t="shared" si="28"/>
        <v>90.148553619712771</v>
      </c>
      <c r="AH52" s="16">
        <f t="shared" si="8"/>
        <v>95.013923835586709</v>
      </c>
      <c r="AI52" s="15">
        <v>100</v>
      </c>
      <c r="AK52" s="1"/>
      <c r="AL52" s="20">
        <f t="shared" si="13"/>
        <v>-1076400000</v>
      </c>
      <c r="AM52" s="17">
        <f t="shared" si="73"/>
        <v>-1003917198.4116828</v>
      </c>
      <c r="AN52" s="17">
        <f t="shared" si="74"/>
        <v>-932087196.68646324</v>
      </c>
      <c r="AO52" s="17">
        <f t="shared" si="75"/>
        <v>-861550087.78753555</v>
      </c>
      <c r="AP52" s="17">
        <f t="shared" si="76"/>
        <v>-792921010.59150076</v>
      </c>
      <c r="AQ52" s="17">
        <f t="shared" si="77"/>
        <v>-726778794.1832031</v>
      </c>
      <c r="AR52" s="17">
        <f t="shared" si="78"/>
        <v>-663655871.77779377</v>
      </c>
      <c r="AS52" s="17">
        <f t="shared" si="79"/>
        <v>-604029767.43101072</v>
      </c>
      <c r="AT52" s="17">
        <f t="shared" si="80"/>
        <v>-548316368.30248773</v>
      </c>
      <c r="AU52" s="17">
        <f t="shared" si="81"/>
        <v>-496865096.45168769</v>
      </c>
      <c r="AV52" s="17">
        <f t="shared" si="82"/>
        <v>-449955994.4131673</v>
      </c>
      <c r="AW52" s="17">
        <f t="shared" si="83"/>
        <v>-407798645.30460012</v>
      </c>
      <c r="AX52" s="17">
        <f t="shared" si="84"/>
        <v>-370532767.27507555</v>
      </c>
      <c r="AY52" s="17">
        <f t="shared" si="85"/>
        <v>-338230258.61559898</v>
      </c>
      <c r="AZ52" s="17">
        <f t="shared" si="86"/>
        <v>-310898426.98764652</v>
      </c>
      <c r="BA52" s="17">
        <f t="shared" si="87"/>
        <v>-288484115.21134919</v>
      </c>
      <c r="BB52" s="17">
        <f t="shared" si="88"/>
        <v>-270878436.21757996</v>
      </c>
      <c r="BC52" s="17">
        <f t="shared" si="89"/>
        <v>-257921848.72663447</v>
      </c>
      <c r="BD52" s="17">
        <f t="shared" si="90"/>
        <v>-249409339.23333597</v>
      </c>
      <c r="BE52" s="17">
        <f t="shared" si="91"/>
        <v>-245095520.31839561</v>
      </c>
      <c r="BF52" s="17">
        <f t="shared" si="92"/>
        <v>-244699505.14501557</v>
      </c>
      <c r="BG52" s="17">
        <f t="shared" si="93"/>
        <v>-247909468.3371079</v>
      </c>
      <c r="BH52" s="17">
        <f t="shared" si="94"/>
        <v>-254386849.9526704</v>
      </c>
      <c r="BI52" s="17">
        <f t="shared" si="95"/>
        <v>-263770198.59251806</v>
      </c>
      <c r="BJ52" s="17">
        <f t="shared" si="29"/>
        <v>-275678679.63987637</v>
      </c>
      <c r="BK52" s="17">
        <f t="shared" si="30"/>
        <v>-289715294.31888074</v>
      </c>
      <c r="BL52" s="17">
        <f t="shared" si="31"/>
        <v>-305469865.04501736</v>
      </c>
      <c r="BM52" s="17">
        <f t="shared" si="32"/>
        <v>-322521843.84679288</v>
      </c>
      <c r="BN52" s="17">
        <f t="shared" si="33"/>
        <v>-340442995.6895659</v>
      </c>
      <c r="BO52" s="20">
        <f t="shared" si="34"/>
        <v>-358800000</v>
      </c>
      <c r="BQ52" s="1"/>
      <c r="BR52" s="20">
        <v>0</v>
      </c>
      <c r="BS52" s="18">
        <f t="shared" si="10"/>
        <v>0.34159220146222585</v>
      </c>
      <c r="BT52" s="18">
        <f t="shared" si="99"/>
        <v>0.38671628039714145</v>
      </c>
      <c r="BU52" s="18">
        <f t="shared" si="99"/>
        <v>0.39358441341045358</v>
      </c>
      <c r="BV52" s="18">
        <f t="shared" si="99"/>
        <v>0.39465123071155617</v>
      </c>
      <c r="BW52" s="18">
        <f t="shared" si="99"/>
        <v>0.39481745705771343</v>
      </c>
      <c r="BX52" s="18">
        <f t="shared" si="99"/>
        <v>0.39484337025824812</v>
      </c>
      <c r="BY52" s="18">
        <f t="shared" si="99"/>
        <v>0.39484741020089803</v>
      </c>
      <c r="BZ52" s="18">
        <f t="shared" si="99"/>
        <v>0.39484804004704999</v>
      </c>
      <c r="CA52" s="18">
        <f t="shared" si="99"/>
        <v>0.3948481382432229</v>
      </c>
      <c r="CB52" s="18">
        <f t="shared" si="99"/>
        <v>0.39484815355250291</v>
      </c>
      <c r="CC52" s="18">
        <f t="shared" si="99"/>
        <v>0.39484815593929723</v>
      </c>
      <c r="CD52" s="18">
        <f t="shared" si="99"/>
        <v>0.39484815631141057</v>
      </c>
      <c r="CE52" s="18">
        <f t="shared" si="99"/>
        <v>0.39484815636942489</v>
      </c>
      <c r="CF52" s="18">
        <f t="shared" si="99"/>
        <v>0.39484815637846959</v>
      </c>
      <c r="CG52" s="18">
        <f t="shared" si="99"/>
        <v>0.39484815637987974</v>
      </c>
      <c r="CH52" s="18">
        <f t="shared" si="99"/>
        <v>0.39484815638009962</v>
      </c>
      <c r="CI52" s="18">
        <f t="shared" si="99"/>
        <v>0.39484815638013382</v>
      </c>
      <c r="CJ52" s="18">
        <f t="shared" si="99"/>
        <v>0.39484815638013915</v>
      </c>
      <c r="CK52" s="18">
        <f t="shared" si="99"/>
        <v>0.39484815638013998</v>
      </c>
      <c r="CL52" s="18">
        <f t="shared" si="99"/>
        <v>0.39484815638014015</v>
      </c>
      <c r="CM52" s="18">
        <f t="shared" si="99"/>
        <v>0.39484815638014015</v>
      </c>
      <c r="CN52" s="18">
        <f t="shared" si="99"/>
        <v>0.39484815638014015</v>
      </c>
      <c r="CO52" s="18">
        <f t="shared" si="99"/>
        <v>0.39484815638014015</v>
      </c>
      <c r="CP52" s="18">
        <f t="shared" si="99"/>
        <v>0.39484815638014015</v>
      </c>
      <c r="CQ52" s="18">
        <f t="shared" si="99"/>
        <v>0.39484815638014015</v>
      </c>
      <c r="CR52" s="18">
        <f t="shared" si="99"/>
        <v>0.39484815638014015</v>
      </c>
      <c r="CS52" s="18">
        <f t="shared" si="99"/>
        <v>0.39484815638014015</v>
      </c>
      <c r="CT52" s="18">
        <f t="shared" si="99"/>
        <v>0.39484815638014015</v>
      </c>
      <c r="CU52" s="20">
        <f t="shared" si="99"/>
        <v>0.39484815638014015</v>
      </c>
      <c r="CW52" s="1"/>
      <c r="CX52" s="20">
        <f t="shared" si="11"/>
        <v>300</v>
      </c>
      <c r="CY52" s="17">
        <f t="shared" si="12"/>
        <v>191.12220520712069</v>
      </c>
      <c r="CZ52" s="17">
        <f t="shared" si="96"/>
        <v>167.08416066015801</v>
      </c>
      <c r="DA52" s="17">
        <f t="shared" si="97"/>
        <v>153.41427937569901</v>
      </c>
      <c r="DB52" s="17">
        <f t="shared" si="98"/>
        <v>141.43415155745643</v>
      </c>
      <c r="DC52" s="17">
        <f t="shared" si="36"/>
        <v>130.01348790013125</v>
      </c>
      <c r="DD52" s="17">
        <f t="shared" si="37"/>
        <v>119.07009301423139</v>
      </c>
      <c r="DE52" s="17">
        <f t="shared" si="38"/>
        <v>108.664621088741</v>
      </c>
      <c r="DF52" s="17">
        <f t="shared" si="39"/>
        <v>98.869835062786194</v>
      </c>
      <c r="DG52" s="17">
        <f t="shared" si="40"/>
        <v>89.751039488704563</v>
      </c>
      <c r="DH52" s="17">
        <f t="shared" si="41"/>
        <v>81.362732002828182</v>
      </c>
      <c r="DI52" s="17">
        <f t="shared" si="42"/>
        <v>73.747840397647408</v>
      </c>
      <c r="DJ52" s="17">
        <f t="shared" si="43"/>
        <v>66.937577557602921</v>
      </c>
      <c r="DK52" s="17">
        <f t="shared" si="44"/>
        <v>60.951606491251844</v>
      </c>
      <c r="DL52" s="17">
        <f t="shared" si="45"/>
        <v>55.79843700890104</v>
      </c>
      <c r="DM52" s="17">
        <f t="shared" si="46"/>
        <v>51.476003720167895</v>
      </c>
      <c r="DN52" s="17">
        <f t="shared" si="47"/>
        <v>47.9723775659469</v>
      </c>
      <c r="DO52" s="17">
        <f t="shared" si="48"/>
        <v>45.266564819406192</v>
      </c>
      <c r="DP52" s="17">
        <f t="shared" si="49"/>
        <v>43.329351469462026</v>
      </c>
      <c r="DQ52" s="17">
        <f t="shared" si="50"/>
        <v>42.124156982632286</v>
      </c>
      <c r="DR52" s="17">
        <f t="shared" si="51"/>
        <v>41.607868924208489</v>
      </c>
      <c r="DS52" s="17">
        <f t="shared" si="52"/>
        <v>41.731638012331842</v>
      </c>
      <c r="DT52" s="17">
        <f t="shared" si="53"/>
        <v>42.441621121626163</v>
      </c>
      <c r="DU52" s="17">
        <f t="shared" si="54"/>
        <v>43.679666903205941</v>
      </c>
      <c r="DV52" s="17">
        <f t="shared" si="55"/>
        <v>45.383944568490755</v>
      </c>
      <c r="DW52" s="17">
        <f t="shared" si="56"/>
        <v>47.489520716122748</v>
      </c>
      <c r="DX52" s="17">
        <f t="shared" si="57"/>
        <v>49.92889179041633</v>
      </c>
      <c r="DY52" s="17">
        <f t="shared" si="58"/>
        <v>52.632480962788307</v>
      </c>
      <c r="DZ52" s="17">
        <f t="shared" si="59"/>
        <v>55.529108197572697</v>
      </c>
      <c r="EA52" s="20">
        <f t="shared" si="60"/>
        <v>58.546441380896432</v>
      </c>
    </row>
    <row r="53" spans="5:131" x14ac:dyDescent="0.25">
      <c r="E53" s="1"/>
      <c r="F53" s="15">
        <v>300</v>
      </c>
      <c r="G53" s="16">
        <f t="shared" si="61"/>
        <v>279.99075248592408</v>
      </c>
      <c r="H53" s="16">
        <f t="shared" si="62"/>
        <v>260.15976623116995</v>
      </c>
      <c r="I53" s="16">
        <f t="shared" si="63"/>
        <v>240.68189080487434</v>
      </c>
      <c r="J53" s="16">
        <f t="shared" si="64"/>
        <v>221.72527278961985</v>
      </c>
      <c r="K53" s="16">
        <f t="shared" si="65"/>
        <v>203.44829810209518</v>
      </c>
      <c r="L53" s="16">
        <f t="shared" si="66"/>
        <v>185.99686738580414</v>
      </c>
      <c r="M53" s="16">
        <f t="shared" si="67"/>
        <v>169.50208465650351</v>
      </c>
      <c r="N53" s="16">
        <f t="shared" si="68"/>
        <v>154.07841610714496</v>
      </c>
      <c r="O53" s="16">
        <f t="shared" si="69"/>
        <v>139.82235048648113</v>
      </c>
      <c r="P53" s="16">
        <f t="shared" si="70"/>
        <v>126.81156664573936</v>
      </c>
      <c r="Q53" s="16">
        <f t="shared" si="71"/>
        <v>115.10458953398103</v>
      </c>
      <c r="R53" s="16">
        <f t="shared" si="72"/>
        <v>104.74089473192745</v>
      </c>
      <c r="S53" s="16">
        <f t="shared" si="14"/>
        <v>95.741404816158351</v>
      </c>
      <c r="T53" s="16">
        <f t="shared" si="15"/>
        <v>88.109309271680473</v>
      </c>
      <c r="U53" s="16">
        <f t="shared" si="16"/>
        <v>81.831133667011045</v>
      </c>
      <c r="V53" s="16">
        <f t="shared" si="17"/>
        <v>76.877983235760013</v>
      </c>
      <c r="W53" s="16">
        <f t="shared" si="18"/>
        <v>73.206890301362336</v>
      </c>
      <c r="X53" s="16">
        <f t="shared" si="19"/>
        <v>70.762203217828997</v>
      </c>
      <c r="Y53" s="16">
        <f t="shared" si="20"/>
        <v>69.476965524833446</v>
      </c>
      <c r="Z53" s="16">
        <f t="shared" si="21"/>
        <v>69.274246568514428</v>
      </c>
      <c r="AA53" s="16">
        <f t="shared" si="22"/>
        <v>70.068397679613639</v>
      </c>
      <c r="AB53" s="16">
        <f t="shared" si="23"/>
        <v>71.766220025098903</v>
      </c>
      <c r="AC53" s="16">
        <f t="shared" si="24"/>
        <v>74.268040586317142</v>
      </c>
      <c r="AD53" s="16">
        <f t="shared" si="25"/>
        <v>77.468700787505355</v>
      </c>
      <c r="AE53" s="16">
        <f t="shared" si="26"/>
        <v>81.258467845358268</v>
      </c>
      <c r="AF53" s="16">
        <f t="shared" si="27"/>
        <v>85.523881987496125</v>
      </c>
      <c r="AG53" s="16">
        <f t="shared" si="28"/>
        <v>90.148553619712771</v>
      </c>
      <c r="AH53" s="16">
        <f t="shared" si="8"/>
        <v>95.013923835586709</v>
      </c>
      <c r="AI53" s="15">
        <v>100</v>
      </c>
      <c r="AK53" s="1"/>
      <c r="AL53" s="20">
        <f t="shared" si="13"/>
        <v>-1076400000</v>
      </c>
      <c r="AM53" s="17">
        <f t="shared" si="73"/>
        <v>-1003917198.4116828</v>
      </c>
      <c r="AN53" s="17">
        <f t="shared" si="74"/>
        <v>-932087196.686463</v>
      </c>
      <c r="AO53" s="17">
        <f t="shared" si="75"/>
        <v>-861550087.78753567</v>
      </c>
      <c r="AP53" s="17">
        <f t="shared" si="76"/>
        <v>-792921010.59150076</v>
      </c>
      <c r="AQ53" s="17">
        <f t="shared" si="77"/>
        <v>-726778794.1832031</v>
      </c>
      <c r="AR53" s="17">
        <f t="shared" si="78"/>
        <v>-663655871.77779388</v>
      </c>
      <c r="AS53" s="17">
        <f t="shared" si="79"/>
        <v>-604029767.43101072</v>
      </c>
      <c r="AT53" s="17">
        <f t="shared" si="80"/>
        <v>-548316368.30248773</v>
      </c>
      <c r="AU53" s="17">
        <f t="shared" si="81"/>
        <v>-496865096.45168769</v>
      </c>
      <c r="AV53" s="17">
        <f t="shared" si="82"/>
        <v>-449955994.41316742</v>
      </c>
      <c r="AW53" s="17">
        <f t="shared" si="83"/>
        <v>-407798645.30460012</v>
      </c>
      <c r="AX53" s="17">
        <f t="shared" si="84"/>
        <v>-370532767.27507555</v>
      </c>
      <c r="AY53" s="17">
        <f t="shared" si="85"/>
        <v>-338230258.61559898</v>
      </c>
      <c r="AZ53" s="17">
        <f t="shared" si="86"/>
        <v>-310898426.98764652</v>
      </c>
      <c r="BA53" s="17">
        <f t="shared" si="87"/>
        <v>-288484115.21134919</v>
      </c>
      <c r="BB53" s="17">
        <f t="shared" si="88"/>
        <v>-270878436.21757996</v>
      </c>
      <c r="BC53" s="17">
        <f t="shared" si="89"/>
        <v>-257921848.72663447</v>
      </c>
      <c r="BD53" s="17">
        <f t="shared" si="90"/>
        <v>-249409339.23333597</v>
      </c>
      <c r="BE53" s="17">
        <f t="shared" si="91"/>
        <v>-245095520.31839564</v>
      </c>
      <c r="BF53" s="17">
        <f t="shared" si="92"/>
        <v>-244699505.1450156</v>
      </c>
      <c r="BG53" s="17">
        <f t="shared" si="93"/>
        <v>-247909468.3371079</v>
      </c>
      <c r="BH53" s="17">
        <f t="shared" si="94"/>
        <v>-254386849.9526704</v>
      </c>
      <c r="BI53" s="17">
        <f t="shared" si="95"/>
        <v>-263770198.59251806</v>
      </c>
      <c r="BJ53" s="17">
        <f t="shared" si="29"/>
        <v>-275678679.63987637</v>
      </c>
      <c r="BK53" s="17">
        <f t="shared" si="30"/>
        <v>-289715294.3188808</v>
      </c>
      <c r="BL53" s="17">
        <f t="shared" si="31"/>
        <v>-305469865.04501736</v>
      </c>
      <c r="BM53" s="17">
        <f t="shared" si="32"/>
        <v>-322521843.84679288</v>
      </c>
      <c r="BN53" s="17">
        <f t="shared" si="33"/>
        <v>-340442995.6895659</v>
      </c>
      <c r="BO53" s="20">
        <f t="shared" si="34"/>
        <v>-358800000</v>
      </c>
      <c r="BQ53" s="1"/>
      <c r="BR53" s="20">
        <v>0</v>
      </c>
      <c r="BS53" s="18">
        <f t="shared" si="10"/>
        <v>0.34159220146222585</v>
      </c>
      <c r="BT53" s="18">
        <f t="shared" si="99"/>
        <v>0.38671628039714145</v>
      </c>
      <c r="BU53" s="18">
        <f t="shared" si="99"/>
        <v>0.39358441341045358</v>
      </c>
      <c r="BV53" s="18">
        <f t="shared" si="99"/>
        <v>0.39465123071155617</v>
      </c>
      <c r="BW53" s="18">
        <f t="shared" si="99"/>
        <v>0.39481745705771343</v>
      </c>
      <c r="BX53" s="18">
        <f t="shared" si="99"/>
        <v>0.39484337025824812</v>
      </c>
      <c r="BY53" s="18">
        <f t="shared" si="99"/>
        <v>0.39484741020089803</v>
      </c>
      <c r="BZ53" s="18">
        <f t="shared" si="99"/>
        <v>0.39484804004704999</v>
      </c>
      <c r="CA53" s="18">
        <f t="shared" si="99"/>
        <v>0.3948481382432229</v>
      </c>
      <c r="CB53" s="18">
        <f t="shared" si="99"/>
        <v>0.39484815355250291</v>
      </c>
      <c r="CC53" s="18">
        <f t="shared" si="99"/>
        <v>0.39484815593929723</v>
      </c>
      <c r="CD53" s="18">
        <f t="shared" si="99"/>
        <v>0.39484815631141057</v>
      </c>
      <c r="CE53" s="18">
        <f t="shared" si="99"/>
        <v>0.39484815636942489</v>
      </c>
      <c r="CF53" s="18">
        <f t="shared" si="99"/>
        <v>0.39484815637846959</v>
      </c>
      <c r="CG53" s="18">
        <f t="shared" si="99"/>
        <v>0.39484815637987974</v>
      </c>
      <c r="CH53" s="18">
        <f t="shared" si="99"/>
        <v>0.39484815638009962</v>
      </c>
      <c r="CI53" s="18">
        <f t="shared" si="99"/>
        <v>0.39484815638013382</v>
      </c>
      <c r="CJ53" s="18">
        <f t="shared" si="99"/>
        <v>0.39484815638013915</v>
      </c>
      <c r="CK53" s="18">
        <f t="shared" si="99"/>
        <v>0.39484815638013998</v>
      </c>
      <c r="CL53" s="18">
        <f t="shared" si="99"/>
        <v>0.39484815638014015</v>
      </c>
      <c r="CM53" s="18">
        <f t="shared" si="99"/>
        <v>0.39484815638014015</v>
      </c>
      <c r="CN53" s="18">
        <f t="shared" si="99"/>
        <v>0.39484815638014015</v>
      </c>
      <c r="CO53" s="18">
        <f t="shared" si="99"/>
        <v>0.39484815638014015</v>
      </c>
      <c r="CP53" s="18">
        <f t="shared" si="99"/>
        <v>0.39484815638014015</v>
      </c>
      <c r="CQ53" s="18">
        <f t="shared" si="99"/>
        <v>0.39484815638014015</v>
      </c>
      <c r="CR53" s="18">
        <f t="shared" si="99"/>
        <v>0.39484815638014015</v>
      </c>
      <c r="CS53" s="18">
        <f t="shared" si="99"/>
        <v>0.39484815638014015</v>
      </c>
      <c r="CT53" s="18">
        <f t="shared" si="99"/>
        <v>0.39484815638014015</v>
      </c>
      <c r="CU53" s="20">
        <f t="shared" si="99"/>
        <v>0.39484815638014015</v>
      </c>
      <c r="CW53" s="1"/>
      <c r="CX53" s="20">
        <f t="shared" si="11"/>
        <v>300</v>
      </c>
      <c r="CY53" s="17">
        <f t="shared" si="12"/>
        <v>191.12220520712069</v>
      </c>
      <c r="CZ53" s="17">
        <f t="shared" si="96"/>
        <v>167.08416066015798</v>
      </c>
      <c r="DA53" s="17">
        <f t="shared" si="97"/>
        <v>153.41427937569901</v>
      </c>
      <c r="DB53" s="17">
        <f t="shared" si="98"/>
        <v>141.43415155745643</v>
      </c>
      <c r="DC53" s="17">
        <f t="shared" si="36"/>
        <v>130.01348790013125</v>
      </c>
      <c r="DD53" s="17">
        <f t="shared" si="37"/>
        <v>119.07009301423139</v>
      </c>
      <c r="DE53" s="17">
        <f t="shared" si="38"/>
        <v>108.664621088741</v>
      </c>
      <c r="DF53" s="17">
        <f t="shared" si="39"/>
        <v>98.869835062786194</v>
      </c>
      <c r="DG53" s="17">
        <f t="shared" si="40"/>
        <v>89.751039488704563</v>
      </c>
      <c r="DH53" s="17">
        <f t="shared" si="41"/>
        <v>81.362732002828196</v>
      </c>
      <c r="DI53" s="17">
        <f t="shared" si="42"/>
        <v>73.747840397647423</v>
      </c>
      <c r="DJ53" s="17">
        <f t="shared" si="43"/>
        <v>66.937577557602935</v>
      </c>
      <c r="DK53" s="17">
        <f t="shared" si="44"/>
        <v>60.951606491251844</v>
      </c>
      <c r="DL53" s="17">
        <f t="shared" si="45"/>
        <v>55.79843700890104</v>
      </c>
      <c r="DM53" s="17">
        <f t="shared" si="46"/>
        <v>51.476003720167895</v>
      </c>
      <c r="DN53" s="17">
        <f t="shared" si="47"/>
        <v>47.9723775659469</v>
      </c>
      <c r="DO53" s="17">
        <f t="shared" si="48"/>
        <v>45.266564819406192</v>
      </c>
      <c r="DP53" s="17">
        <f t="shared" si="49"/>
        <v>43.329351469462026</v>
      </c>
      <c r="DQ53" s="17">
        <f t="shared" si="50"/>
        <v>42.124156982632293</v>
      </c>
      <c r="DR53" s="17">
        <f t="shared" si="51"/>
        <v>41.607868924208489</v>
      </c>
      <c r="DS53" s="17">
        <f t="shared" si="52"/>
        <v>41.731638012331842</v>
      </c>
      <c r="DT53" s="17">
        <f t="shared" si="53"/>
        <v>42.441621121626163</v>
      </c>
      <c r="DU53" s="17">
        <f t="shared" si="54"/>
        <v>43.679666903205941</v>
      </c>
      <c r="DV53" s="17">
        <f t="shared" si="55"/>
        <v>45.383944568490755</v>
      </c>
      <c r="DW53" s="17">
        <f t="shared" si="56"/>
        <v>47.489520716122748</v>
      </c>
      <c r="DX53" s="17">
        <f t="shared" si="57"/>
        <v>49.92889179041633</v>
      </c>
      <c r="DY53" s="17">
        <f t="shared" si="58"/>
        <v>52.632480962788307</v>
      </c>
      <c r="DZ53" s="17">
        <f t="shared" si="59"/>
        <v>55.529108197572697</v>
      </c>
      <c r="EA53" s="20">
        <f t="shared" si="60"/>
        <v>58.546441380896432</v>
      </c>
    </row>
    <row r="54" spans="5:131" x14ac:dyDescent="0.25">
      <c r="E54" s="1"/>
      <c r="F54" s="15">
        <v>300</v>
      </c>
      <c r="G54" s="16">
        <f t="shared" si="61"/>
        <v>279.99075248592408</v>
      </c>
      <c r="H54" s="16">
        <f t="shared" si="62"/>
        <v>260.15976623116995</v>
      </c>
      <c r="I54" s="16">
        <f t="shared" si="63"/>
        <v>240.68189080487437</v>
      </c>
      <c r="J54" s="16">
        <f t="shared" si="64"/>
        <v>221.72527278961991</v>
      </c>
      <c r="K54" s="16">
        <f t="shared" si="65"/>
        <v>203.44829810209521</v>
      </c>
      <c r="L54" s="16">
        <f t="shared" si="66"/>
        <v>185.99686738580417</v>
      </c>
      <c r="M54" s="16">
        <f t="shared" si="67"/>
        <v>169.50208465650354</v>
      </c>
      <c r="N54" s="16">
        <f t="shared" si="68"/>
        <v>154.07841610714499</v>
      </c>
      <c r="O54" s="16">
        <f t="shared" si="69"/>
        <v>139.82235048648116</v>
      </c>
      <c r="P54" s="16">
        <f t="shared" si="70"/>
        <v>126.81156664573936</v>
      </c>
      <c r="Q54" s="16">
        <f t="shared" si="71"/>
        <v>115.10458953398103</v>
      </c>
      <c r="R54" s="16">
        <f t="shared" si="72"/>
        <v>104.74089473192747</v>
      </c>
      <c r="S54" s="16">
        <f t="shared" si="14"/>
        <v>95.741404816158365</v>
      </c>
      <c r="T54" s="16">
        <f t="shared" si="15"/>
        <v>88.109309271680473</v>
      </c>
      <c r="U54" s="16">
        <f t="shared" si="16"/>
        <v>81.831133667011045</v>
      </c>
      <c r="V54" s="16">
        <f t="shared" si="17"/>
        <v>76.877983235760013</v>
      </c>
      <c r="W54" s="16">
        <f t="shared" si="18"/>
        <v>73.20689030136235</v>
      </c>
      <c r="X54" s="16">
        <f t="shared" si="19"/>
        <v>70.762203217829011</v>
      </c>
      <c r="Y54" s="16">
        <f t="shared" si="20"/>
        <v>69.476965524833446</v>
      </c>
      <c r="Z54" s="16">
        <f t="shared" si="21"/>
        <v>69.274246568514428</v>
      </c>
      <c r="AA54" s="16">
        <f t="shared" si="22"/>
        <v>70.068397679613653</v>
      </c>
      <c r="AB54" s="16">
        <f t="shared" si="23"/>
        <v>71.766220025098932</v>
      </c>
      <c r="AC54" s="16">
        <f t="shared" si="24"/>
        <v>74.268040586317142</v>
      </c>
      <c r="AD54" s="16">
        <f t="shared" si="25"/>
        <v>77.468700787505355</v>
      </c>
      <c r="AE54" s="16">
        <f t="shared" si="26"/>
        <v>81.258467845358268</v>
      </c>
      <c r="AF54" s="16">
        <f t="shared" si="27"/>
        <v>85.523881987496125</v>
      </c>
      <c r="AG54" s="16">
        <f t="shared" si="28"/>
        <v>90.148553619712771</v>
      </c>
      <c r="AH54" s="16">
        <f t="shared" si="8"/>
        <v>95.013923835586709</v>
      </c>
      <c r="AI54" s="15">
        <v>100</v>
      </c>
      <c r="AK54" s="1"/>
      <c r="AL54" s="20">
        <f t="shared" si="13"/>
        <v>-1076400000</v>
      </c>
      <c r="AM54" s="17">
        <f t="shared" si="73"/>
        <v>-1003917198.4116828</v>
      </c>
      <c r="AN54" s="17">
        <f t="shared" si="74"/>
        <v>-932087196.686463</v>
      </c>
      <c r="AO54" s="17">
        <f t="shared" si="75"/>
        <v>-861550087.78753555</v>
      </c>
      <c r="AP54" s="17">
        <f t="shared" si="76"/>
        <v>-792921010.591501</v>
      </c>
      <c r="AQ54" s="17">
        <f t="shared" si="77"/>
        <v>-726778794.1832031</v>
      </c>
      <c r="AR54" s="17">
        <f t="shared" si="78"/>
        <v>-663655871.777794</v>
      </c>
      <c r="AS54" s="17">
        <f t="shared" si="79"/>
        <v>-604029767.43101072</v>
      </c>
      <c r="AT54" s="17">
        <f t="shared" si="80"/>
        <v>-548316368.30248773</v>
      </c>
      <c r="AU54" s="17">
        <f t="shared" si="81"/>
        <v>-496865096.45168769</v>
      </c>
      <c r="AV54" s="17">
        <f t="shared" si="82"/>
        <v>-449955994.41316742</v>
      </c>
      <c r="AW54" s="17">
        <f t="shared" si="83"/>
        <v>-407798645.30460012</v>
      </c>
      <c r="AX54" s="17">
        <f t="shared" si="84"/>
        <v>-370532767.27507561</v>
      </c>
      <c r="AY54" s="17">
        <f t="shared" si="85"/>
        <v>-338230258.61559904</v>
      </c>
      <c r="AZ54" s="17">
        <f t="shared" si="86"/>
        <v>-310898426.98764652</v>
      </c>
      <c r="BA54" s="17">
        <f t="shared" si="87"/>
        <v>-288484115.21134925</v>
      </c>
      <c r="BB54" s="17">
        <f t="shared" si="88"/>
        <v>-270878436.21757996</v>
      </c>
      <c r="BC54" s="17">
        <f t="shared" si="89"/>
        <v>-257921848.72663447</v>
      </c>
      <c r="BD54" s="17">
        <f t="shared" si="90"/>
        <v>-249409339.23333603</v>
      </c>
      <c r="BE54" s="17">
        <f t="shared" si="91"/>
        <v>-245095520.3183957</v>
      </c>
      <c r="BF54" s="17">
        <f t="shared" si="92"/>
        <v>-244699505.1450156</v>
      </c>
      <c r="BG54" s="17">
        <f t="shared" si="93"/>
        <v>-247909468.33710796</v>
      </c>
      <c r="BH54" s="17">
        <f t="shared" si="94"/>
        <v>-254386849.95267045</v>
      </c>
      <c r="BI54" s="17">
        <f t="shared" si="95"/>
        <v>-263770198.59251806</v>
      </c>
      <c r="BJ54" s="17">
        <f t="shared" si="29"/>
        <v>-275678679.63987637</v>
      </c>
      <c r="BK54" s="17">
        <f t="shared" si="30"/>
        <v>-289715294.31888074</v>
      </c>
      <c r="BL54" s="17">
        <f t="shared" si="31"/>
        <v>-305469865.04501736</v>
      </c>
      <c r="BM54" s="17">
        <f t="shared" si="32"/>
        <v>-322521843.84679288</v>
      </c>
      <c r="BN54" s="17">
        <f t="shared" si="33"/>
        <v>-340442995.6895659</v>
      </c>
      <c r="BO54" s="20">
        <f t="shared" si="34"/>
        <v>-358800000</v>
      </c>
      <c r="BQ54" s="1"/>
      <c r="BR54" s="20">
        <v>0</v>
      </c>
      <c r="BS54" s="18">
        <f t="shared" si="10"/>
        <v>0.34159220146222585</v>
      </c>
      <c r="BT54" s="18">
        <f t="shared" si="99"/>
        <v>0.38671628039714145</v>
      </c>
      <c r="BU54" s="18">
        <f t="shared" si="99"/>
        <v>0.39358441341045358</v>
      </c>
      <c r="BV54" s="18">
        <f t="shared" si="99"/>
        <v>0.39465123071155617</v>
      </c>
      <c r="BW54" s="18">
        <f t="shared" si="99"/>
        <v>0.39481745705771343</v>
      </c>
      <c r="BX54" s="18">
        <f t="shared" si="99"/>
        <v>0.39484337025824812</v>
      </c>
      <c r="BY54" s="18">
        <f t="shared" si="99"/>
        <v>0.39484741020089803</v>
      </c>
      <c r="BZ54" s="18">
        <f t="shared" si="99"/>
        <v>0.39484804004704999</v>
      </c>
      <c r="CA54" s="18">
        <f t="shared" si="99"/>
        <v>0.3948481382432229</v>
      </c>
      <c r="CB54" s="18">
        <f t="shared" si="99"/>
        <v>0.39484815355250291</v>
      </c>
      <c r="CC54" s="18">
        <f t="shared" si="99"/>
        <v>0.39484815593929723</v>
      </c>
      <c r="CD54" s="18">
        <f t="shared" si="99"/>
        <v>0.39484815631141057</v>
      </c>
      <c r="CE54" s="18">
        <f t="shared" si="99"/>
        <v>0.39484815636942489</v>
      </c>
      <c r="CF54" s="18">
        <f t="shared" si="99"/>
        <v>0.39484815637846959</v>
      </c>
      <c r="CG54" s="18">
        <f t="shared" si="99"/>
        <v>0.39484815637987974</v>
      </c>
      <c r="CH54" s="18">
        <f t="shared" si="99"/>
        <v>0.39484815638009962</v>
      </c>
      <c r="CI54" s="18">
        <f t="shared" si="99"/>
        <v>0.39484815638013382</v>
      </c>
      <c r="CJ54" s="18">
        <f t="shared" si="99"/>
        <v>0.39484815638013915</v>
      </c>
      <c r="CK54" s="18">
        <f t="shared" si="99"/>
        <v>0.39484815638013998</v>
      </c>
      <c r="CL54" s="18">
        <f t="shared" si="99"/>
        <v>0.39484815638014015</v>
      </c>
      <c r="CM54" s="18">
        <f t="shared" si="99"/>
        <v>0.39484815638014015</v>
      </c>
      <c r="CN54" s="18">
        <f t="shared" si="99"/>
        <v>0.39484815638014015</v>
      </c>
      <c r="CO54" s="18">
        <f t="shared" si="99"/>
        <v>0.39484815638014015</v>
      </c>
      <c r="CP54" s="18">
        <f t="shared" si="99"/>
        <v>0.39484815638014015</v>
      </c>
      <c r="CQ54" s="18">
        <f t="shared" si="99"/>
        <v>0.39484815638014015</v>
      </c>
      <c r="CR54" s="18">
        <f t="shared" si="99"/>
        <v>0.39484815638014015</v>
      </c>
      <c r="CS54" s="18">
        <f t="shared" si="99"/>
        <v>0.39484815638014015</v>
      </c>
      <c r="CT54" s="18">
        <f t="shared" si="99"/>
        <v>0.39484815638014015</v>
      </c>
      <c r="CU54" s="20">
        <f t="shared" si="99"/>
        <v>0.39484815638014015</v>
      </c>
      <c r="CW54" s="1"/>
      <c r="CX54" s="20">
        <f t="shared" si="11"/>
        <v>300</v>
      </c>
      <c r="CY54" s="17">
        <f t="shared" si="12"/>
        <v>191.12220520712069</v>
      </c>
      <c r="CZ54" s="17">
        <f t="shared" si="96"/>
        <v>167.08416066015798</v>
      </c>
      <c r="DA54" s="17">
        <f t="shared" si="97"/>
        <v>153.41427937569901</v>
      </c>
      <c r="DB54" s="17">
        <f t="shared" si="98"/>
        <v>141.43415155745646</v>
      </c>
      <c r="DC54" s="17">
        <f t="shared" si="36"/>
        <v>130.01348790013125</v>
      </c>
      <c r="DD54" s="17">
        <f t="shared" si="37"/>
        <v>119.07009301423142</v>
      </c>
      <c r="DE54" s="17">
        <f t="shared" si="38"/>
        <v>108.66462108874101</v>
      </c>
      <c r="DF54" s="17">
        <f t="shared" si="39"/>
        <v>98.869835062786208</v>
      </c>
      <c r="DG54" s="17">
        <f t="shared" si="40"/>
        <v>89.751039488704578</v>
      </c>
      <c r="DH54" s="17">
        <f t="shared" si="41"/>
        <v>81.362732002828196</v>
      </c>
      <c r="DI54" s="17">
        <f t="shared" si="42"/>
        <v>73.747840397647423</v>
      </c>
      <c r="DJ54" s="17">
        <f t="shared" si="43"/>
        <v>66.937577557602935</v>
      </c>
      <c r="DK54" s="17">
        <f t="shared" si="44"/>
        <v>60.951606491251859</v>
      </c>
      <c r="DL54" s="17">
        <f t="shared" si="45"/>
        <v>55.79843700890104</v>
      </c>
      <c r="DM54" s="17">
        <f t="shared" si="46"/>
        <v>51.476003720167903</v>
      </c>
      <c r="DN54" s="17">
        <f t="shared" si="47"/>
        <v>47.9723775659469</v>
      </c>
      <c r="DO54" s="17">
        <f t="shared" si="48"/>
        <v>45.266564819406192</v>
      </c>
      <c r="DP54" s="17">
        <f t="shared" si="49"/>
        <v>43.329351469462033</v>
      </c>
      <c r="DQ54" s="17">
        <f t="shared" si="50"/>
        <v>42.124156982632293</v>
      </c>
      <c r="DR54" s="17">
        <f t="shared" si="51"/>
        <v>41.607868924208489</v>
      </c>
      <c r="DS54" s="17">
        <f t="shared" si="52"/>
        <v>41.73163801233185</v>
      </c>
      <c r="DT54" s="17">
        <f t="shared" si="53"/>
        <v>42.441621121626177</v>
      </c>
      <c r="DU54" s="17">
        <f t="shared" si="54"/>
        <v>43.679666903205941</v>
      </c>
      <c r="DV54" s="17">
        <f t="shared" si="55"/>
        <v>45.383944568490755</v>
      </c>
      <c r="DW54" s="17">
        <f t="shared" si="56"/>
        <v>47.489520716122748</v>
      </c>
      <c r="DX54" s="17">
        <f t="shared" si="57"/>
        <v>49.92889179041633</v>
      </c>
      <c r="DY54" s="17">
        <f t="shared" si="58"/>
        <v>52.632480962788307</v>
      </c>
      <c r="DZ54" s="17">
        <f t="shared" si="59"/>
        <v>55.529108197572697</v>
      </c>
      <c r="EA54" s="20">
        <f t="shared" si="60"/>
        <v>58.546441380896432</v>
      </c>
    </row>
    <row r="55" spans="5:131" x14ac:dyDescent="0.25">
      <c r="E55" s="1"/>
      <c r="F55" s="15">
        <v>300</v>
      </c>
      <c r="G55" s="16">
        <f t="shared" si="61"/>
        <v>279.99075248592408</v>
      </c>
      <c r="H55" s="16">
        <f t="shared" si="62"/>
        <v>260.15976623117001</v>
      </c>
      <c r="I55" s="16">
        <f t="shared" si="63"/>
        <v>240.6818908048744</v>
      </c>
      <c r="J55" s="16">
        <f t="shared" si="64"/>
        <v>221.72527278961994</v>
      </c>
      <c r="K55" s="16">
        <f t="shared" si="65"/>
        <v>203.44829810209524</v>
      </c>
      <c r="L55" s="16">
        <f t="shared" si="66"/>
        <v>185.99686738580419</v>
      </c>
      <c r="M55" s="16">
        <f t="shared" si="67"/>
        <v>169.50208465650357</v>
      </c>
      <c r="N55" s="16">
        <f t="shared" si="68"/>
        <v>154.07841610714499</v>
      </c>
      <c r="O55" s="16">
        <f t="shared" si="69"/>
        <v>139.82235048648116</v>
      </c>
      <c r="P55" s="16">
        <f t="shared" si="70"/>
        <v>126.81156664573939</v>
      </c>
      <c r="Q55" s="16">
        <f t="shared" si="71"/>
        <v>115.10458953398107</v>
      </c>
      <c r="R55" s="16">
        <f t="shared" si="72"/>
        <v>104.74089473192751</v>
      </c>
      <c r="S55" s="16">
        <f t="shared" si="14"/>
        <v>95.741404816158393</v>
      </c>
      <c r="T55" s="16">
        <f t="shared" si="15"/>
        <v>88.109309271680502</v>
      </c>
      <c r="U55" s="16">
        <f t="shared" si="16"/>
        <v>81.831133667011088</v>
      </c>
      <c r="V55" s="16">
        <f t="shared" si="17"/>
        <v>76.877983235760055</v>
      </c>
      <c r="W55" s="16">
        <f t="shared" si="18"/>
        <v>73.206890301362392</v>
      </c>
      <c r="X55" s="16">
        <f t="shared" si="19"/>
        <v>70.762203217829054</v>
      </c>
      <c r="Y55" s="16">
        <f t="shared" si="20"/>
        <v>69.476965524833503</v>
      </c>
      <c r="Z55" s="16">
        <f t="shared" si="21"/>
        <v>69.274246568514471</v>
      </c>
      <c r="AA55" s="16">
        <f t="shared" si="22"/>
        <v>70.068397679613696</v>
      </c>
      <c r="AB55" s="16">
        <f t="shared" si="23"/>
        <v>71.76622002509896</v>
      </c>
      <c r="AC55" s="16">
        <f t="shared" si="24"/>
        <v>74.268040586317184</v>
      </c>
      <c r="AD55" s="16">
        <f t="shared" si="25"/>
        <v>77.468700787505398</v>
      </c>
      <c r="AE55" s="16">
        <f t="shared" si="26"/>
        <v>81.258467845358297</v>
      </c>
      <c r="AF55" s="16">
        <f t="shared" si="27"/>
        <v>85.523881987496139</v>
      </c>
      <c r="AG55" s="16">
        <f t="shared" si="28"/>
        <v>90.1485536197128</v>
      </c>
      <c r="AH55" s="16">
        <f t="shared" si="8"/>
        <v>95.013923835586723</v>
      </c>
      <c r="AI55" s="15">
        <v>100</v>
      </c>
      <c r="AK55" s="1"/>
      <c r="AL55" s="20">
        <f t="shared" si="13"/>
        <v>-1076400000</v>
      </c>
      <c r="AM55" s="17">
        <f t="shared" si="73"/>
        <v>-1003917198.4116831</v>
      </c>
      <c r="AN55" s="17">
        <f t="shared" si="74"/>
        <v>-932087196.68646336</v>
      </c>
      <c r="AO55" s="17">
        <f t="shared" si="75"/>
        <v>-861550087.78753579</v>
      </c>
      <c r="AP55" s="17">
        <f t="shared" si="76"/>
        <v>-792921010.59150124</v>
      </c>
      <c r="AQ55" s="17">
        <f t="shared" si="77"/>
        <v>-726778794.18320334</v>
      </c>
      <c r="AR55" s="17">
        <f t="shared" si="78"/>
        <v>-663655871.77779412</v>
      </c>
      <c r="AS55" s="17">
        <f t="shared" si="79"/>
        <v>-604029767.43101072</v>
      </c>
      <c r="AT55" s="17">
        <f t="shared" si="80"/>
        <v>-548316368.30248773</v>
      </c>
      <c r="AU55" s="17">
        <f t="shared" si="81"/>
        <v>-496865096.45168775</v>
      </c>
      <c r="AV55" s="17">
        <f t="shared" si="82"/>
        <v>-449955994.4131676</v>
      </c>
      <c r="AW55" s="17">
        <f t="shared" si="83"/>
        <v>-407798645.30460024</v>
      </c>
      <c r="AX55" s="17">
        <f t="shared" si="84"/>
        <v>-370532767.27507573</v>
      </c>
      <c r="AY55" s="17">
        <f t="shared" si="85"/>
        <v>-338230258.61559916</v>
      </c>
      <c r="AZ55" s="17">
        <f t="shared" si="86"/>
        <v>-310898426.98764664</v>
      </c>
      <c r="BA55" s="17">
        <f t="shared" si="87"/>
        <v>-288484115.21134943</v>
      </c>
      <c r="BB55" s="17">
        <f t="shared" si="88"/>
        <v>-270878436.21757996</v>
      </c>
      <c r="BC55" s="17">
        <f t="shared" si="89"/>
        <v>-257921848.72663459</v>
      </c>
      <c r="BD55" s="17">
        <f t="shared" si="90"/>
        <v>-249409339.23333612</v>
      </c>
      <c r="BE55" s="17">
        <f t="shared" si="91"/>
        <v>-245095520.31839582</v>
      </c>
      <c r="BF55" s="17">
        <f t="shared" si="92"/>
        <v>-244699505.14501572</v>
      </c>
      <c r="BG55" s="17">
        <f t="shared" si="93"/>
        <v>-247909468.33710811</v>
      </c>
      <c r="BH55" s="17">
        <f t="shared" si="94"/>
        <v>-254386849.9526706</v>
      </c>
      <c r="BI55" s="17">
        <f t="shared" si="95"/>
        <v>-263770198.59251815</v>
      </c>
      <c r="BJ55" s="17">
        <f t="shared" si="29"/>
        <v>-275678679.63987643</v>
      </c>
      <c r="BK55" s="17">
        <f t="shared" si="30"/>
        <v>-289715294.3188808</v>
      </c>
      <c r="BL55" s="17">
        <f t="shared" si="31"/>
        <v>-305469865.04501742</v>
      </c>
      <c r="BM55" s="17">
        <f t="shared" si="32"/>
        <v>-322521843.846793</v>
      </c>
      <c r="BN55" s="17">
        <f t="shared" si="33"/>
        <v>-340442995.6895659</v>
      </c>
      <c r="BO55" s="20">
        <f t="shared" si="34"/>
        <v>-358800000</v>
      </c>
      <c r="BQ55" s="1"/>
      <c r="BR55" s="20">
        <v>0</v>
      </c>
      <c r="BS55" s="18">
        <f t="shared" si="10"/>
        <v>0.34159220146222585</v>
      </c>
      <c r="BT55" s="18">
        <f t="shared" si="99"/>
        <v>0.38671628039714145</v>
      </c>
      <c r="BU55" s="18">
        <f t="shared" si="99"/>
        <v>0.39358441341045358</v>
      </c>
      <c r="BV55" s="18">
        <f t="shared" si="99"/>
        <v>0.39465123071155617</v>
      </c>
      <c r="BW55" s="18">
        <f t="shared" si="99"/>
        <v>0.39481745705771343</v>
      </c>
      <c r="BX55" s="18">
        <f t="shared" si="99"/>
        <v>0.39484337025824812</v>
      </c>
      <c r="BY55" s="18">
        <f t="shared" si="99"/>
        <v>0.39484741020089803</v>
      </c>
      <c r="BZ55" s="18">
        <f t="shared" si="99"/>
        <v>0.39484804004704999</v>
      </c>
      <c r="CA55" s="18">
        <f t="shared" si="99"/>
        <v>0.3948481382432229</v>
      </c>
      <c r="CB55" s="18">
        <f t="shared" si="99"/>
        <v>0.39484815355250291</v>
      </c>
      <c r="CC55" s="18">
        <f t="shared" si="99"/>
        <v>0.39484815593929723</v>
      </c>
      <c r="CD55" s="18">
        <f t="shared" si="99"/>
        <v>0.39484815631141057</v>
      </c>
      <c r="CE55" s="18">
        <f t="shared" si="99"/>
        <v>0.39484815636942489</v>
      </c>
      <c r="CF55" s="18">
        <f t="shared" si="99"/>
        <v>0.39484815637846959</v>
      </c>
      <c r="CG55" s="18">
        <f t="shared" si="99"/>
        <v>0.39484815637987974</v>
      </c>
      <c r="CH55" s="18">
        <f t="shared" si="99"/>
        <v>0.39484815638009962</v>
      </c>
      <c r="CI55" s="18">
        <f t="shared" si="99"/>
        <v>0.39484815638013382</v>
      </c>
      <c r="CJ55" s="18">
        <f t="shared" si="99"/>
        <v>0.39484815638013915</v>
      </c>
      <c r="CK55" s="18">
        <f t="shared" si="99"/>
        <v>0.39484815638013998</v>
      </c>
      <c r="CL55" s="18">
        <f t="shared" si="99"/>
        <v>0.39484815638014015</v>
      </c>
      <c r="CM55" s="18">
        <f t="shared" si="99"/>
        <v>0.39484815638014015</v>
      </c>
      <c r="CN55" s="18">
        <f t="shared" si="99"/>
        <v>0.39484815638014015</v>
      </c>
      <c r="CO55" s="18">
        <f t="shared" si="99"/>
        <v>0.39484815638014015</v>
      </c>
      <c r="CP55" s="18">
        <f t="shared" si="99"/>
        <v>0.39484815638014015</v>
      </c>
      <c r="CQ55" s="18">
        <f t="shared" si="99"/>
        <v>0.39484815638014015</v>
      </c>
      <c r="CR55" s="18">
        <f t="shared" si="99"/>
        <v>0.39484815638014015</v>
      </c>
      <c r="CS55" s="18">
        <f t="shared" si="99"/>
        <v>0.39484815638014015</v>
      </c>
      <c r="CT55" s="18">
        <f t="shared" si="99"/>
        <v>0.39484815638014015</v>
      </c>
      <c r="CU55" s="20">
        <f t="shared" si="99"/>
        <v>0.39484815638014015</v>
      </c>
      <c r="CW55" s="1"/>
      <c r="CX55" s="20">
        <f t="shared" si="11"/>
        <v>300</v>
      </c>
      <c r="CY55" s="17">
        <f t="shared" si="12"/>
        <v>191.12220520712069</v>
      </c>
      <c r="CZ55" s="17">
        <f t="shared" si="96"/>
        <v>167.08416066015803</v>
      </c>
      <c r="DA55" s="17">
        <f t="shared" si="97"/>
        <v>153.41427937569904</v>
      </c>
      <c r="DB55" s="17">
        <f t="shared" si="98"/>
        <v>141.43415155745649</v>
      </c>
      <c r="DC55" s="17">
        <f t="shared" si="36"/>
        <v>130.01348790013128</v>
      </c>
      <c r="DD55" s="17">
        <f t="shared" si="37"/>
        <v>119.07009301423145</v>
      </c>
      <c r="DE55" s="17">
        <f t="shared" si="38"/>
        <v>108.66462108874103</v>
      </c>
      <c r="DF55" s="17">
        <f t="shared" si="39"/>
        <v>98.869835062786223</v>
      </c>
      <c r="DG55" s="17">
        <f t="shared" si="40"/>
        <v>89.751039488704578</v>
      </c>
      <c r="DH55" s="17">
        <f t="shared" si="41"/>
        <v>81.36273200282821</v>
      </c>
      <c r="DI55" s="17">
        <f t="shared" si="42"/>
        <v>73.747840397647437</v>
      </c>
      <c r="DJ55" s="17">
        <f t="shared" si="43"/>
        <v>66.937577557602964</v>
      </c>
      <c r="DK55" s="17">
        <f t="shared" si="44"/>
        <v>60.95160649125188</v>
      </c>
      <c r="DL55" s="17">
        <f t="shared" si="45"/>
        <v>55.798437008901061</v>
      </c>
      <c r="DM55" s="17">
        <f t="shared" si="46"/>
        <v>51.476003720167931</v>
      </c>
      <c r="DN55" s="17">
        <f t="shared" si="47"/>
        <v>47.972377565946914</v>
      </c>
      <c r="DO55" s="17">
        <f t="shared" si="48"/>
        <v>45.26656481940622</v>
      </c>
      <c r="DP55" s="17">
        <f t="shared" si="49"/>
        <v>43.329351469462054</v>
      </c>
      <c r="DQ55" s="17">
        <f t="shared" si="50"/>
        <v>42.124156982632321</v>
      </c>
      <c r="DR55" s="17">
        <f t="shared" si="51"/>
        <v>41.607868924208518</v>
      </c>
      <c r="DS55" s="17">
        <f t="shared" si="52"/>
        <v>41.731638012331871</v>
      </c>
      <c r="DT55" s="17">
        <f t="shared" si="53"/>
        <v>42.441621121626198</v>
      </c>
      <c r="DU55" s="17">
        <f t="shared" si="54"/>
        <v>43.679666903205963</v>
      </c>
      <c r="DV55" s="17">
        <f t="shared" si="55"/>
        <v>45.383944568490776</v>
      </c>
      <c r="DW55" s="17">
        <f t="shared" si="56"/>
        <v>47.489520716122762</v>
      </c>
      <c r="DX55" s="17">
        <f t="shared" si="57"/>
        <v>49.928891790416337</v>
      </c>
      <c r="DY55" s="17">
        <f t="shared" si="58"/>
        <v>52.632480962788321</v>
      </c>
      <c r="DZ55" s="17">
        <f t="shared" si="59"/>
        <v>55.529108197572704</v>
      </c>
      <c r="EA55" s="20">
        <f t="shared" si="60"/>
        <v>58.546441380896432</v>
      </c>
    </row>
    <row r="56" spans="5:131" x14ac:dyDescent="0.25">
      <c r="E56" s="1"/>
      <c r="F56" s="15">
        <v>300</v>
      </c>
      <c r="G56" s="16">
        <f t="shared" si="61"/>
        <v>279.99075248592408</v>
      </c>
      <c r="H56" s="16">
        <f t="shared" si="62"/>
        <v>260.15976623117001</v>
      </c>
      <c r="I56" s="16">
        <f t="shared" si="63"/>
        <v>240.68189080487446</v>
      </c>
      <c r="J56" s="16">
        <f t="shared" si="64"/>
        <v>221.72527278961996</v>
      </c>
      <c r="K56" s="16">
        <f t="shared" si="65"/>
        <v>203.44829810209524</v>
      </c>
      <c r="L56" s="16">
        <f t="shared" si="66"/>
        <v>185.99686738580419</v>
      </c>
      <c r="M56" s="16">
        <f t="shared" si="67"/>
        <v>169.50208465650357</v>
      </c>
      <c r="N56" s="16">
        <f t="shared" si="68"/>
        <v>154.07841610714499</v>
      </c>
      <c r="O56" s="16">
        <f t="shared" si="69"/>
        <v>139.82235048648116</v>
      </c>
      <c r="P56" s="16">
        <f t="shared" si="70"/>
        <v>126.81156664573939</v>
      </c>
      <c r="Q56" s="16">
        <f t="shared" si="71"/>
        <v>115.10458953398108</v>
      </c>
      <c r="R56" s="16">
        <f t="shared" si="72"/>
        <v>104.74089473192751</v>
      </c>
      <c r="S56" s="16">
        <f t="shared" si="14"/>
        <v>95.741404816158408</v>
      </c>
      <c r="T56" s="16">
        <f t="shared" si="15"/>
        <v>88.109309271680516</v>
      </c>
      <c r="U56" s="16">
        <f t="shared" si="16"/>
        <v>81.831133667011088</v>
      </c>
      <c r="V56" s="16">
        <f t="shared" si="17"/>
        <v>76.877983235760055</v>
      </c>
      <c r="W56" s="16">
        <f t="shared" si="18"/>
        <v>73.206890301362392</v>
      </c>
      <c r="X56" s="16">
        <f t="shared" si="19"/>
        <v>70.762203217829054</v>
      </c>
      <c r="Y56" s="16">
        <f t="shared" si="20"/>
        <v>69.476965524833503</v>
      </c>
      <c r="Z56" s="16">
        <f t="shared" si="21"/>
        <v>69.274246568514471</v>
      </c>
      <c r="AA56" s="16">
        <f t="shared" si="22"/>
        <v>70.068397679613696</v>
      </c>
      <c r="AB56" s="16">
        <f t="shared" si="23"/>
        <v>71.76622002509896</v>
      </c>
      <c r="AC56" s="16">
        <f t="shared" si="24"/>
        <v>74.268040586317184</v>
      </c>
      <c r="AD56" s="16">
        <f t="shared" si="25"/>
        <v>77.468700787505398</v>
      </c>
      <c r="AE56" s="16">
        <f t="shared" si="26"/>
        <v>81.258467845358297</v>
      </c>
      <c r="AF56" s="16">
        <f t="shared" si="27"/>
        <v>85.523881987496139</v>
      </c>
      <c r="AG56" s="16">
        <f t="shared" si="28"/>
        <v>90.1485536197128</v>
      </c>
      <c r="AH56" s="16">
        <f t="shared" si="8"/>
        <v>95.013923835586723</v>
      </c>
      <c r="AI56" s="15">
        <v>100</v>
      </c>
      <c r="AK56" s="1"/>
      <c r="AL56" s="20">
        <f t="shared" si="13"/>
        <v>-1076400000</v>
      </c>
      <c r="AM56" s="17">
        <f t="shared" si="73"/>
        <v>-1003917198.4116832</v>
      </c>
      <c r="AN56" s="17">
        <f t="shared" si="74"/>
        <v>-932087196.68646336</v>
      </c>
      <c r="AO56" s="17">
        <f t="shared" si="75"/>
        <v>-861550087.78753591</v>
      </c>
      <c r="AP56" s="17">
        <f t="shared" si="76"/>
        <v>-792921010.59150124</v>
      </c>
      <c r="AQ56" s="17">
        <f t="shared" si="77"/>
        <v>-726778794.18320334</v>
      </c>
      <c r="AR56" s="17">
        <f t="shared" si="78"/>
        <v>-663655871.77779412</v>
      </c>
      <c r="AS56" s="17">
        <f t="shared" si="79"/>
        <v>-604029767.43101072</v>
      </c>
      <c r="AT56" s="17">
        <f t="shared" si="80"/>
        <v>-548316368.30248773</v>
      </c>
      <c r="AU56" s="17">
        <f t="shared" si="81"/>
        <v>-496865096.45168775</v>
      </c>
      <c r="AV56" s="17">
        <f t="shared" si="82"/>
        <v>-449955994.4131676</v>
      </c>
      <c r="AW56" s="17">
        <f t="shared" si="83"/>
        <v>-407798645.3046003</v>
      </c>
      <c r="AX56" s="17">
        <f t="shared" si="84"/>
        <v>-370532767.27507579</v>
      </c>
      <c r="AY56" s="17">
        <f t="shared" si="85"/>
        <v>-338230258.61559922</v>
      </c>
      <c r="AZ56" s="17">
        <f t="shared" si="86"/>
        <v>-310898426.9876467</v>
      </c>
      <c r="BA56" s="17">
        <f t="shared" si="87"/>
        <v>-288484115.21134943</v>
      </c>
      <c r="BB56" s="17">
        <f t="shared" si="88"/>
        <v>-270878436.21758002</v>
      </c>
      <c r="BC56" s="17">
        <f t="shared" si="89"/>
        <v>-257921848.72663465</v>
      </c>
      <c r="BD56" s="17">
        <f t="shared" si="90"/>
        <v>-249409339.23333612</v>
      </c>
      <c r="BE56" s="17">
        <f t="shared" si="91"/>
        <v>-245095520.31839585</v>
      </c>
      <c r="BF56" s="17">
        <f t="shared" si="92"/>
        <v>-244699505.14501575</v>
      </c>
      <c r="BG56" s="17">
        <f t="shared" si="93"/>
        <v>-247909468.33710811</v>
      </c>
      <c r="BH56" s="17">
        <f t="shared" si="94"/>
        <v>-254386849.9526706</v>
      </c>
      <c r="BI56" s="17">
        <f t="shared" si="95"/>
        <v>-263770198.59251821</v>
      </c>
      <c r="BJ56" s="17">
        <f t="shared" si="29"/>
        <v>-275678679.63987643</v>
      </c>
      <c r="BK56" s="17">
        <f t="shared" si="30"/>
        <v>-289715294.3188808</v>
      </c>
      <c r="BL56" s="17">
        <f t="shared" si="31"/>
        <v>-305469865.04501742</v>
      </c>
      <c r="BM56" s="17">
        <f t="shared" si="32"/>
        <v>-322521843.846793</v>
      </c>
      <c r="BN56" s="17">
        <f t="shared" si="33"/>
        <v>-340442995.6895659</v>
      </c>
      <c r="BO56" s="20">
        <f t="shared" si="34"/>
        <v>-358800000</v>
      </c>
      <c r="BQ56" s="1"/>
      <c r="BR56" s="20">
        <v>0</v>
      </c>
      <c r="BS56" s="18">
        <f t="shared" si="10"/>
        <v>0.34159220146222585</v>
      </c>
      <c r="BT56" s="18">
        <f t="shared" si="99"/>
        <v>0.38671628039714145</v>
      </c>
      <c r="BU56" s="18">
        <f t="shared" si="99"/>
        <v>0.39358441341045358</v>
      </c>
      <c r="BV56" s="18">
        <f t="shared" si="99"/>
        <v>0.39465123071155617</v>
      </c>
      <c r="BW56" s="18">
        <f t="shared" si="99"/>
        <v>0.39481745705771343</v>
      </c>
      <c r="BX56" s="18">
        <f t="shared" si="99"/>
        <v>0.39484337025824812</v>
      </c>
      <c r="BY56" s="18">
        <f t="shared" si="99"/>
        <v>0.39484741020089803</v>
      </c>
      <c r="BZ56" s="18">
        <f t="shared" si="99"/>
        <v>0.39484804004704999</v>
      </c>
      <c r="CA56" s="18">
        <f t="shared" si="99"/>
        <v>0.3948481382432229</v>
      </c>
      <c r="CB56" s="18">
        <f t="shared" si="99"/>
        <v>0.39484815355250291</v>
      </c>
      <c r="CC56" s="18">
        <f t="shared" si="99"/>
        <v>0.39484815593929723</v>
      </c>
      <c r="CD56" s="18">
        <f t="shared" si="99"/>
        <v>0.39484815631141057</v>
      </c>
      <c r="CE56" s="18">
        <f t="shared" si="99"/>
        <v>0.39484815636942489</v>
      </c>
      <c r="CF56" s="18">
        <f t="shared" si="99"/>
        <v>0.39484815637846959</v>
      </c>
      <c r="CG56" s="18">
        <f t="shared" si="99"/>
        <v>0.39484815637987974</v>
      </c>
      <c r="CH56" s="18">
        <f t="shared" si="99"/>
        <v>0.39484815638009962</v>
      </c>
      <c r="CI56" s="18">
        <f t="shared" si="99"/>
        <v>0.39484815638013382</v>
      </c>
      <c r="CJ56" s="18">
        <f t="shared" si="99"/>
        <v>0.39484815638013915</v>
      </c>
      <c r="CK56" s="18">
        <f t="shared" si="99"/>
        <v>0.39484815638013998</v>
      </c>
      <c r="CL56" s="18">
        <f t="shared" si="99"/>
        <v>0.39484815638014015</v>
      </c>
      <c r="CM56" s="18">
        <f t="shared" si="99"/>
        <v>0.39484815638014015</v>
      </c>
      <c r="CN56" s="18">
        <f t="shared" si="99"/>
        <v>0.39484815638014015</v>
      </c>
      <c r="CO56" s="18">
        <f t="shared" si="99"/>
        <v>0.39484815638014015</v>
      </c>
      <c r="CP56" s="18">
        <f t="shared" si="99"/>
        <v>0.39484815638014015</v>
      </c>
      <c r="CQ56" s="18">
        <f t="shared" si="99"/>
        <v>0.39484815638014015</v>
      </c>
      <c r="CR56" s="18">
        <f t="shared" si="99"/>
        <v>0.39484815638014015</v>
      </c>
      <c r="CS56" s="18">
        <f t="shared" si="99"/>
        <v>0.39484815638014015</v>
      </c>
      <c r="CT56" s="18">
        <f t="shared" si="99"/>
        <v>0.39484815638014015</v>
      </c>
      <c r="CU56" s="20">
        <f t="shared" si="99"/>
        <v>0.39484815638014015</v>
      </c>
      <c r="CW56" s="1"/>
      <c r="CX56" s="20">
        <f t="shared" si="11"/>
        <v>300</v>
      </c>
      <c r="CY56" s="17">
        <f t="shared" si="12"/>
        <v>191.12220520712069</v>
      </c>
      <c r="CZ56" s="17">
        <f t="shared" si="96"/>
        <v>167.08416066015803</v>
      </c>
      <c r="DA56" s="17">
        <f t="shared" si="97"/>
        <v>153.41427937569907</v>
      </c>
      <c r="DB56" s="17">
        <f t="shared" si="98"/>
        <v>141.43415155745652</v>
      </c>
      <c r="DC56" s="17">
        <f t="shared" si="36"/>
        <v>130.01348790013128</v>
      </c>
      <c r="DD56" s="17">
        <f t="shared" si="37"/>
        <v>119.07009301423145</v>
      </c>
      <c r="DE56" s="17">
        <f t="shared" si="38"/>
        <v>108.66462108874103</v>
      </c>
      <c r="DF56" s="17">
        <f t="shared" si="39"/>
        <v>98.869835062786223</v>
      </c>
      <c r="DG56" s="17">
        <f t="shared" si="40"/>
        <v>89.751039488704578</v>
      </c>
      <c r="DH56" s="17">
        <f t="shared" si="41"/>
        <v>81.36273200282821</v>
      </c>
      <c r="DI56" s="17">
        <f t="shared" si="42"/>
        <v>73.747840397647451</v>
      </c>
      <c r="DJ56" s="17">
        <f t="shared" si="43"/>
        <v>66.937577557602964</v>
      </c>
      <c r="DK56" s="17">
        <f t="shared" si="44"/>
        <v>60.95160649125188</v>
      </c>
      <c r="DL56" s="17">
        <f t="shared" si="45"/>
        <v>55.798437008901075</v>
      </c>
      <c r="DM56" s="17">
        <f t="shared" si="46"/>
        <v>51.476003720167931</v>
      </c>
      <c r="DN56" s="17">
        <f t="shared" si="47"/>
        <v>47.972377565946914</v>
      </c>
      <c r="DO56" s="17">
        <f t="shared" si="48"/>
        <v>45.26656481940622</v>
      </c>
      <c r="DP56" s="17">
        <f t="shared" si="49"/>
        <v>43.329351469462054</v>
      </c>
      <c r="DQ56" s="17">
        <f t="shared" si="50"/>
        <v>42.124156982632321</v>
      </c>
      <c r="DR56" s="17">
        <f t="shared" si="51"/>
        <v>41.607868924208518</v>
      </c>
      <c r="DS56" s="17">
        <f t="shared" si="52"/>
        <v>41.731638012331871</v>
      </c>
      <c r="DT56" s="17">
        <f t="shared" si="53"/>
        <v>42.441621121626198</v>
      </c>
      <c r="DU56" s="17">
        <f t="shared" si="54"/>
        <v>43.679666903205963</v>
      </c>
      <c r="DV56" s="17">
        <f t="shared" si="55"/>
        <v>45.383944568490776</v>
      </c>
      <c r="DW56" s="17">
        <f t="shared" si="56"/>
        <v>47.489520716122762</v>
      </c>
      <c r="DX56" s="17">
        <f t="shared" si="57"/>
        <v>49.928891790416337</v>
      </c>
      <c r="DY56" s="17">
        <f t="shared" si="58"/>
        <v>52.632480962788321</v>
      </c>
      <c r="DZ56" s="17">
        <f t="shared" si="59"/>
        <v>55.529108197572704</v>
      </c>
      <c r="EA56" s="20">
        <f t="shared" si="60"/>
        <v>58.546441380896432</v>
      </c>
    </row>
    <row r="57" spans="5:131" x14ac:dyDescent="0.25">
      <c r="E57" s="1"/>
      <c r="F57" s="15">
        <v>300</v>
      </c>
      <c r="G57" s="16">
        <f t="shared" si="61"/>
        <v>279.99075248592408</v>
      </c>
      <c r="H57" s="16">
        <f t="shared" si="62"/>
        <v>260.15976623117001</v>
      </c>
      <c r="I57" s="16">
        <f t="shared" si="63"/>
        <v>240.68189080487446</v>
      </c>
      <c r="J57" s="16">
        <f t="shared" si="64"/>
        <v>221.72527278961996</v>
      </c>
      <c r="K57" s="16">
        <f t="shared" si="65"/>
        <v>203.44829810209524</v>
      </c>
      <c r="L57" s="16">
        <f t="shared" si="66"/>
        <v>185.99686738580419</v>
      </c>
      <c r="M57" s="16">
        <f t="shared" si="67"/>
        <v>169.50208465650357</v>
      </c>
      <c r="N57" s="16">
        <f t="shared" si="68"/>
        <v>154.07841610714499</v>
      </c>
      <c r="O57" s="16">
        <f t="shared" si="69"/>
        <v>139.82235048648116</v>
      </c>
      <c r="P57" s="16">
        <f t="shared" si="70"/>
        <v>126.81156664573939</v>
      </c>
      <c r="Q57" s="16">
        <f t="shared" si="71"/>
        <v>115.10458953398107</v>
      </c>
      <c r="R57" s="16">
        <f t="shared" si="72"/>
        <v>104.74089473192751</v>
      </c>
      <c r="S57" s="16">
        <f t="shared" si="14"/>
        <v>95.741404816158393</v>
      </c>
      <c r="T57" s="16">
        <f t="shared" si="15"/>
        <v>88.109309271680502</v>
      </c>
      <c r="U57" s="16">
        <f t="shared" si="16"/>
        <v>81.831133667011088</v>
      </c>
      <c r="V57" s="16">
        <f t="shared" si="17"/>
        <v>76.877983235760055</v>
      </c>
      <c r="W57" s="16">
        <f t="shared" si="18"/>
        <v>73.206890301362392</v>
      </c>
      <c r="X57" s="16">
        <f t="shared" si="19"/>
        <v>70.762203217829054</v>
      </c>
      <c r="Y57" s="16">
        <f t="shared" si="20"/>
        <v>69.476965524833503</v>
      </c>
      <c r="Z57" s="16">
        <f t="shared" si="21"/>
        <v>69.274246568514471</v>
      </c>
      <c r="AA57" s="16">
        <f t="shared" si="22"/>
        <v>70.068397679613696</v>
      </c>
      <c r="AB57" s="16">
        <f t="shared" si="23"/>
        <v>71.76622002509896</v>
      </c>
      <c r="AC57" s="16">
        <f t="shared" si="24"/>
        <v>74.26804058631717</v>
      </c>
      <c r="AD57" s="16">
        <f t="shared" si="25"/>
        <v>77.468700787505384</v>
      </c>
      <c r="AE57" s="16">
        <f t="shared" si="26"/>
        <v>81.258467845358268</v>
      </c>
      <c r="AF57" s="16">
        <f t="shared" si="27"/>
        <v>85.523881987496125</v>
      </c>
      <c r="AG57" s="16">
        <f t="shared" si="28"/>
        <v>90.148553619712771</v>
      </c>
      <c r="AH57" s="16">
        <f t="shared" si="8"/>
        <v>95.013923835586709</v>
      </c>
      <c r="AI57" s="15">
        <v>100</v>
      </c>
      <c r="AK57" s="1"/>
      <c r="AL57" s="20">
        <f t="shared" si="13"/>
        <v>-1076400000</v>
      </c>
      <c r="AM57" s="17">
        <f t="shared" si="73"/>
        <v>-1003917198.4116828</v>
      </c>
      <c r="AN57" s="17">
        <f t="shared" si="74"/>
        <v>-932087196.68646336</v>
      </c>
      <c r="AO57" s="17">
        <f t="shared" si="75"/>
        <v>-861550087.78753591</v>
      </c>
      <c r="AP57" s="17">
        <f t="shared" si="76"/>
        <v>-792921010.59150124</v>
      </c>
      <c r="AQ57" s="17">
        <f t="shared" si="77"/>
        <v>-726778794.18320334</v>
      </c>
      <c r="AR57" s="17">
        <f t="shared" si="78"/>
        <v>-663655871.77779412</v>
      </c>
      <c r="AS57" s="17">
        <f t="shared" si="79"/>
        <v>-604029767.43101072</v>
      </c>
      <c r="AT57" s="17">
        <f t="shared" si="80"/>
        <v>-548316368.30248773</v>
      </c>
      <c r="AU57" s="17">
        <f t="shared" si="81"/>
        <v>-496865096.45168775</v>
      </c>
      <c r="AV57" s="17">
        <f t="shared" si="82"/>
        <v>-449955994.41316754</v>
      </c>
      <c r="AW57" s="17">
        <f t="shared" si="83"/>
        <v>-407798645.30460024</v>
      </c>
      <c r="AX57" s="17">
        <f t="shared" si="84"/>
        <v>-370532767.27507573</v>
      </c>
      <c r="AY57" s="17">
        <f t="shared" si="85"/>
        <v>-338230258.61559916</v>
      </c>
      <c r="AZ57" s="17">
        <f t="shared" si="86"/>
        <v>-310898426.98764664</v>
      </c>
      <c r="BA57" s="17">
        <f t="shared" si="87"/>
        <v>-288484115.21134937</v>
      </c>
      <c r="BB57" s="17">
        <f t="shared" si="88"/>
        <v>-270878436.21758002</v>
      </c>
      <c r="BC57" s="17">
        <f t="shared" si="89"/>
        <v>-257921848.72663465</v>
      </c>
      <c r="BD57" s="17">
        <f t="shared" si="90"/>
        <v>-249409339.23333612</v>
      </c>
      <c r="BE57" s="17">
        <f t="shared" si="91"/>
        <v>-245095520.31839582</v>
      </c>
      <c r="BF57" s="17">
        <f t="shared" si="92"/>
        <v>-244699505.14501575</v>
      </c>
      <c r="BG57" s="17">
        <f t="shared" si="93"/>
        <v>-247909468.33710811</v>
      </c>
      <c r="BH57" s="17">
        <f t="shared" si="94"/>
        <v>-254386849.9526706</v>
      </c>
      <c r="BI57" s="17">
        <f t="shared" si="95"/>
        <v>-263770198.59251815</v>
      </c>
      <c r="BJ57" s="17">
        <f t="shared" si="29"/>
        <v>-275678679.63987637</v>
      </c>
      <c r="BK57" s="17">
        <f t="shared" si="30"/>
        <v>-289715294.31888074</v>
      </c>
      <c r="BL57" s="17">
        <f t="shared" si="31"/>
        <v>-305469865.04501736</v>
      </c>
      <c r="BM57" s="17">
        <f t="shared" si="32"/>
        <v>-322521843.84679288</v>
      </c>
      <c r="BN57" s="17">
        <f t="shared" si="33"/>
        <v>-340442995.6895659</v>
      </c>
      <c r="BO57" s="20">
        <f t="shared" si="34"/>
        <v>-358800000</v>
      </c>
      <c r="BQ57" s="1"/>
      <c r="BR57" s="20">
        <v>0</v>
      </c>
      <c r="BS57" s="18">
        <f t="shared" si="10"/>
        <v>0.34159220146222585</v>
      </c>
      <c r="BT57" s="18">
        <f t="shared" si="99"/>
        <v>0.38671628039714145</v>
      </c>
      <c r="BU57" s="18">
        <f t="shared" si="99"/>
        <v>0.39358441341045358</v>
      </c>
      <c r="BV57" s="18">
        <f t="shared" si="99"/>
        <v>0.39465123071155617</v>
      </c>
      <c r="BW57" s="18">
        <f t="shared" si="99"/>
        <v>0.39481745705771343</v>
      </c>
      <c r="BX57" s="18">
        <f t="shared" si="99"/>
        <v>0.39484337025824812</v>
      </c>
      <c r="BY57" s="18">
        <f t="shared" si="99"/>
        <v>0.39484741020089803</v>
      </c>
      <c r="BZ57" s="18">
        <f t="shared" si="99"/>
        <v>0.39484804004704999</v>
      </c>
      <c r="CA57" s="18">
        <f t="shared" si="99"/>
        <v>0.3948481382432229</v>
      </c>
      <c r="CB57" s="18">
        <f t="shared" si="99"/>
        <v>0.39484815355250291</v>
      </c>
      <c r="CC57" s="18">
        <f t="shared" si="99"/>
        <v>0.39484815593929723</v>
      </c>
      <c r="CD57" s="18">
        <f t="shared" si="99"/>
        <v>0.39484815631141057</v>
      </c>
      <c r="CE57" s="18">
        <f t="shared" si="99"/>
        <v>0.39484815636942489</v>
      </c>
      <c r="CF57" s="18">
        <f t="shared" si="99"/>
        <v>0.39484815637846959</v>
      </c>
      <c r="CG57" s="18">
        <f t="shared" si="99"/>
        <v>0.39484815637987974</v>
      </c>
      <c r="CH57" s="18">
        <f t="shared" si="99"/>
        <v>0.39484815638009962</v>
      </c>
      <c r="CI57" s="18">
        <f t="shared" si="99"/>
        <v>0.39484815638013382</v>
      </c>
      <c r="CJ57" s="18">
        <f t="shared" si="99"/>
        <v>0.39484815638013915</v>
      </c>
      <c r="CK57" s="18">
        <f t="shared" si="99"/>
        <v>0.39484815638013998</v>
      </c>
      <c r="CL57" s="18">
        <f t="shared" si="99"/>
        <v>0.39484815638014015</v>
      </c>
      <c r="CM57" s="18">
        <f t="shared" si="99"/>
        <v>0.39484815638014015</v>
      </c>
      <c r="CN57" s="18">
        <f t="shared" si="99"/>
        <v>0.39484815638014015</v>
      </c>
      <c r="CO57" s="18">
        <f t="shared" si="99"/>
        <v>0.39484815638014015</v>
      </c>
      <c r="CP57" s="18">
        <f t="shared" si="99"/>
        <v>0.39484815638014015</v>
      </c>
      <c r="CQ57" s="18">
        <f t="shared" si="99"/>
        <v>0.39484815638014015</v>
      </c>
      <c r="CR57" s="18">
        <f t="shared" si="99"/>
        <v>0.39484815638014015</v>
      </c>
      <c r="CS57" s="18">
        <f t="shared" si="99"/>
        <v>0.39484815638014015</v>
      </c>
      <c r="CT57" s="18">
        <f t="shared" si="99"/>
        <v>0.39484815638014015</v>
      </c>
      <c r="CU57" s="20">
        <f t="shared" si="99"/>
        <v>0.39484815638014015</v>
      </c>
      <c r="CW57" s="1"/>
      <c r="CX57" s="20">
        <f t="shared" si="11"/>
        <v>300</v>
      </c>
      <c r="CY57" s="17">
        <f t="shared" si="12"/>
        <v>191.12220520712069</v>
      </c>
      <c r="CZ57" s="17">
        <f t="shared" si="96"/>
        <v>167.08416066015803</v>
      </c>
      <c r="DA57" s="17">
        <f t="shared" si="97"/>
        <v>153.41427937569907</v>
      </c>
      <c r="DB57" s="17">
        <f t="shared" si="98"/>
        <v>141.43415155745652</v>
      </c>
      <c r="DC57" s="17">
        <f t="shared" si="36"/>
        <v>130.01348790013128</v>
      </c>
      <c r="DD57" s="17">
        <f t="shared" si="37"/>
        <v>119.07009301423145</v>
      </c>
      <c r="DE57" s="17">
        <f t="shared" si="38"/>
        <v>108.66462108874103</v>
      </c>
      <c r="DF57" s="17">
        <f t="shared" si="39"/>
        <v>98.869835062786223</v>
      </c>
      <c r="DG57" s="17">
        <f t="shared" si="40"/>
        <v>89.751039488704578</v>
      </c>
      <c r="DH57" s="17">
        <f t="shared" si="41"/>
        <v>81.36273200282821</v>
      </c>
      <c r="DI57" s="17">
        <f t="shared" si="42"/>
        <v>73.747840397647437</v>
      </c>
      <c r="DJ57" s="17">
        <f t="shared" si="43"/>
        <v>66.937577557602964</v>
      </c>
      <c r="DK57" s="17">
        <f t="shared" si="44"/>
        <v>60.95160649125188</v>
      </c>
      <c r="DL57" s="17">
        <f t="shared" si="45"/>
        <v>55.798437008901061</v>
      </c>
      <c r="DM57" s="17">
        <f t="shared" si="46"/>
        <v>51.476003720167924</v>
      </c>
      <c r="DN57" s="17">
        <f t="shared" si="47"/>
        <v>47.972377565946914</v>
      </c>
      <c r="DO57" s="17">
        <f t="shared" si="48"/>
        <v>45.26656481940622</v>
      </c>
      <c r="DP57" s="17">
        <f t="shared" si="49"/>
        <v>43.329351469462054</v>
      </c>
      <c r="DQ57" s="17">
        <f t="shared" si="50"/>
        <v>42.124156982632321</v>
      </c>
      <c r="DR57" s="17">
        <f t="shared" si="51"/>
        <v>41.607868924208518</v>
      </c>
      <c r="DS57" s="17">
        <f t="shared" si="52"/>
        <v>41.731638012331871</v>
      </c>
      <c r="DT57" s="17">
        <f t="shared" si="53"/>
        <v>42.441621121626198</v>
      </c>
      <c r="DU57" s="17">
        <f t="shared" si="54"/>
        <v>43.679666903205963</v>
      </c>
      <c r="DV57" s="17">
        <f t="shared" si="55"/>
        <v>45.383944568490769</v>
      </c>
      <c r="DW57" s="17">
        <f t="shared" si="56"/>
        <v>47.489520716122748</v>
      </c>
      <c r="DX57" s="17">
        <f t="shared" si="57"/>
        <v>49.92889179041633</v>
      </c>
      <c r="DY57" s="17">
        <f t="shared" si="58"/>
        <v>52.632480962788307</v>
      </c>
      <c r="DZ57" s="17">
        <f t="shared" si="59"/>
        <v>55.529108197572697</v>
      </c>
      <c r="EA57" s="20">
        <f t="shared" si="60"/>
        <v>58.546441380896432</v>
      </c>
    </row>
    <row r="58" spans="5:131" x14ac:dyDescent="0.25">
      <c r="E58" s="1"/>
      <c r="F58" s="15">
        <v>300</v>
      </c>
      <c r="G58" s="16">
        <f t="shared" si="61"/>
        <v>279.99075248592408</v>
      </c>
      <c r="H58" s="16">
        <f t="shared" si="62"/>
        <v>260.15976623117001</v>
      </c>
      <c r="I58" s="16">
        <f t="shared" si="63"/>
        <v>240.68189080487446</v>
      </c>
      <c r="J58" s="16">
        <f t="shared" si="64"/>
        <v>221.72527278962002</v>
      </c>
      <c r="K58" s="16">
        <f t="shared" si="65"/>
        <v>203.44829810209529</v>
      </c>
      <c r="L58" s="16">
        <f t="shared" si="66"/>
        <v>185.99686738580419</v>
      </c>
      <c r="M58" s="16">
        <f t="shared" si="67"/>
        <v>169.50208465650357</v>
      </c>
      <c r="N58" s="16">
        <f t="shared" si="68"/>
        <v>154.07841610714502</v>
      </c>
      <c r="O58" s="16">
        <f t="shared" si="69"/>
        <v>139.82235048648118</v>
      </c>
      <c r="P58" s="16">
        <f t="shared" si="70"/>
        <v>126.81156664573939</v>
      </c>
      <c r="Q58" s="16">
        <f t="shared" si="71"/>
        <v>115.10458953398107</v>
      </c>
      <c r="R58" s="16">
        <f t="shared" si="72"/>
        <v>104.74089473192751</v>
      </c>
      <c r="S58" s="16">
        <f t="shared" si="14"/>
        <v>95.741404816158393</v>
      </c>
      <c r="T58" s="16">
        <f t="shared" si="15"/>
        <v>88.109309271680502</v>
      </c>
      <c r="U58" s="16">
        <f t="shared" si="16"/>
        <v>81.831133667011088</v>
      </c>
      <c r="V58" s="16">
        <f t="shared" si="17"/>
        <v>76.877983235760055</v>
      </c>
      <c r="W58" s="16">
        <f t="shared" si="18"/>
        <v>73.206890301362392</v>
      </c>
      <c r="X58" s="16">
        <f t="shared" si="19"/>
        <v>70.762203217829054</v>
      </c>
      <c r="Y58" s="16">
        <f t="shared" si="20"/>
        <v>69.476965524833503</v>
      </c>
      <c r="Z58" s="16">
        <f t="shared" si="21"/>
        <v>69.274246568514471</v>
      </c>
      <c r="AA58" s="16">
        <f t="shared" si="22"/>
        <v>70.068397679613696</v>
      </c>
      <c r="AB58" s="16">
        <f t="shared" si="23"/>
        <v>71.76622002509896</v>
      </c>
      <c r="AC58" s="16">
        <f t="shared" si="24"/>
        <v>74.26804058631717</v>
      </c>
      <c r="AD58" s="16">
        <f t="shared" si="25"/>
        <v>77.468700787505384</v>
      </c>
      <c r="AE58" s="16">
        <f t="shared" si="26"/>
        <v>81.258467845358268</v>
      </c>
      <c r="AF58" s="16">
        <f t="shared" si="27"/>
        <v>85.523881987496139</v>
      </c>
      <c r="AG58" s="16">
        <f t="shared" si="28"/>
        <v>90.148553619712786</v>
      </c>
      <c r="AH58" s="16">
        <f t="shared" si="8"/>
        <v>95.013923835586723</v>
      </c>
      <c r="AI58" s="15">
        <v>100</v>
      </c>
      <c r="AK58" s="1"/>
      <c r="AL58" s="20">
        <f t="shared" si="13"/>
        <v>-1076400000</v>
      </c>
      <c r="AM58" s="17">
        <f t="shared" si="73"/>
        <v>-1003917198.4116828</v>
      </c>
      <c r="AN58" s="17">
        <f t="shared" si="74"/>
        <v>-932087196.68646336</v>
      </c>
      <c r="AO58" s="17">
        <f t="shared" si="75"/>
        <v>-861550087.78753603</v>
      </c>
      <c r="AP58" s="17">
        <f t="shared" si="76"/>
        <v>-792921010.59150136</v>
      </c>
      <c r="AQ58" s="17">
        <f t="shared" si="77"/>
        <v>-726778794.18320346</v>
      </c>
      <c r="AR58" s="17">
        <f t="shared" si="78"/>
        <v>-663655871.77779412</v>
      </c>
      <c r="AS58" s="17">
        <f t="shared" si="79"/>
        <v>-604029767.43101072</v>
      </c>
      <c r="AT58" s="17">
        <f t="shared" si="80"/>
        <v>-548316368.30248773</v>
      </c>
      <c r="AU58" s="17">
        <f t="shared" si="81"/>
        <v>-496865096.45168787</v>
      </c>
      <c r="AV58" s="17">
        <f t="shared" si="82"/>
        <v>-449955994.41316754</v>
      </c>
      <c r="AW58" s="17">
        <f t="shared" si="83"/>
        <v>-407798645.30460024</v>
      </c>
      <c r="AX58" s="17">
        <f t="shared" si="84"/>
        <v>-370532767.27507573</v>
      </c>
      <c r="AY58" s="17">
        <f t="shared" si="85"/>
        <v>-338230258.61559916</v>
      </c>
      <c r="AZ58" s="17">
        <f t="shared" si="86"/>
        <v>-310898426.98764664</v>
      </c>
      <c r="BA58" s="17">
        <f t="shared" si="87"/>
        <v>-288484115.21134937</v>
      </c>
      <c r="BB58" s="17">
        <f t="shared" si="88"/>
        <v>-270878436.21758002</v>
      </c>
      <c r="BC58" s="17">
        <f t="shared" si="89"/>
        <v>-257921848.72663465</v>
      </c>
      <c r="BD58" s="17">
        <f t="shared" si="90"/>
        <v>-249409339.23333612</v>
      </c>
      <c r="BE58" s="17">
        <f t="shared" si="91"/>
        <v>-245095520.31839585</v>
      </c>
      <c r="BF58" s="17">
        <f t="shared" si="92"/>
        <v>-244699505.14501575</v>
      </c>
      <c r="BG58" s="17">
        <f t="shared" si="93"/>
        <v>-247909468.33710811</v>
      </c>
      <c r="BH58" s="17">
        <f t="shared" si="94"/>
        <v>-254386849.9526706</v>
      </c>
      <c r="BI58" s="17">
        <f t="shared" si="95"/>
        <v>-263770198.59251815</v>
      </c>
      <c r="BJ58" s="17">
        <f t="shared" si="29"/>
        <v>-275678679.63987637</v>
      </c>
      <c r="BK58" s="17">
        <f t="shared" si="30"/>
        <v>-289715294.31888074</v>
      </c>
      <c r="BL58" s="17">
        <f t="shared" si="31"/>
        <v>-305469865.04501736</v>
      </c>
      <c r="BM58" s="17">
        <f t="shared" si="32"/>
        <v>-322521843.84679294</v>
      </c>
      <c r="BN58" s="17">
        <f t="shared" si="33"/>
        <v>-340442995.6895659</v>
      </c>
      <c r="BO58" s="20">
        <f t="shared" si="34"/>
        <v>-358800000</v>
      </c>
      <c r="BQ58" s="1"/>
      <c r="BR58" s="20">
        <v>0</v>
      </c>
      <c r="BS58" s="18">
        <f t="shared" si="10"/>
        <v>0.34159220146222585</v>
      </c>
      <c r="BT58" s="18">
        <f t="shared" si="99"/>
        <v>0.38671628039714145</v>
      </c>
      <c r="BU58" s="18">
        <f t="shared" si="99"/>
        <v>0.39358441341045358</v>
      </c>
      <c r="BV58" s="18">
        <f t="shared" si="99"/>
        <v>0.39465123071155617</v>
      </c>
      <c r="BW58" s="18">
        <f t="shared" si="99"/>
        <v>0.39481745705771343</v>
      </c>
      <c r="BX58" s="18">
        <f t="shared" si="99"/>
        <v>0.39484337025824812</v>
      </c>
      <c r="BY58" s="18">
        <f t="shared" si="99"/>
        <v>0.39484741020089803</v>
      </c>
      <c r="BZ58" s="18">
        <f t="shared" si="99"/>
        <v>0.39484804004704999</v>
      </c>
      <c r="CA58" s="18">
        <f t="shared" si="99"/>
        <v>0.3948481382432229</v>
      </c>
      <c r="CB58" s="18">
        <f t="shared" si="99"/>
        <v>0.39484815355250291</v>
      </c>
      <c r="CC58" s="18">
        <f t="shared" si="99"/>
        <v>0.39484815593929723</v>
      </c>
      <c r="CD58" s="18">
        <f t="shared" si="99"/>
        <v>0.39484815631141057</v>
      </c>
      <c r="CE58" s="18">
        <f t="shared" si="99"/>
        <v>0.39484815636942489</v>
      </c>
      <c r="CF58" s="18">
        <f t="shared" si="99"/>
        <v>0.39484815637846959</v>
      </c>
      <c r="CG58" s="18">
        <f t="shared" si="99"/>
        <v>0.39484815637987974</v>
      </c>
      <c r="CH58" s="18">
        <f t="shared" si="99"/>
        <v>0.39484815638009962</v>
      </c>
      <c r="CI58" s="18">
        <f t="shared" si="99"/>
        <v>0.39484815638013382</v>
      </c>
      <c r="CJ58" s="18">
        <f t="shared" si="99"/>
        <v>0.39484815638013915</v>
      </c>
      <c r="CK58" s="18">
        <f t="shared" si="99"/>
        <v>0.39484815638013998</v>
      </c>
      <c r="CL58" s="18">
        <f t="shared" si="99"/>
        <v>0.39484815638014015</v>
      </c>
      <c r="CM58" s="18">
        <f t="shared" si="99"/>
        <v>0.39484815638014015</v>
      </c>
      <c r="CN58" s="18">
        <f t="shared" si="99"/>
        <v>0.39484815638014015</v>
      </c>
      <c r="CO58" s="18">
        <f t="shared" si="99"/>
        <v>0.39484815638014015</v>
      </c>
      <c r="CP58" s="18">
        <f t="shared" si="99"/>
        <v>0.39484815638014015</v>
      </c>
      <c r="CQ58" s="18">
        <f t="shared" si="99"/>
        <v>0.39484815638014015</v>
      </c>
      <c r="CR58" s="18">
        <f t="shared" si="99"/>
        <v>0.39484815638014015</v>
      </c>
      <c r="CS58" s="18">
        <f t="shared" si="99"/>
        <v>0.39484815638014015</v>
      </c>
      <c r="CT58" s="18">
        <f t="shared" si="99"/>
        <v>0.39484815638014015</v>
      </c>
      <c r="CU58" s="20">
        <f t="shared" si="99"/>
        <v>0.39484815638014015</v>
      </c>
      <c r="CW58" s="1"/>
      <c r="CX58" s="20">
        <f t="shared" si="11"/>
        <v>300</v>
      </c>
      <c r="CY58" s="17">
        <f t="shared" si="12"/>
        <v>191.12220520712069</v>
      </c>
      <c r="CZ58" s="17">
        <f t="shared" si="96"/>
        <v>167.08416066015803</v>
      </c>
      <c r="DA58" s="17">
        <f t="shared" si="97"/>
        <v>153.41427937569907</v>
      </c>
      <c r="DB58" s="17">
        <f t="shared" si="98"/>
        <v>141.43415155745654</v>
      </c>
      <c r="DC58" s="17">
        <f t="shared" si="36"/>
        <v>130.01348790013131</v>
      </c>
      <c r="DD58" s="17">
        <f t="shared" si="37"/>
        <v>119.07009301423145</v>
      </c>
      <c r="DE58" s="17">
        <f t="shared" si="38"/>
        <v>108.66462108874103</v>
      </c>
      <c r="DF58" s="17">
        <f t="shared" si="39"/>
        <v>98.869835062786223</v>
      </c>
      <c r="DG58" s="17">
        <f t="shared" si="40"/>
        <v>89.751039488704592</v>
      </c>
      <c r="DH58" s="17">
        <f t="shared" si="41"/>
        <v>81.36273200282821</v>
      </c>
      <c r="DI58" s="17">
        <f t="shared" si="42"/>
        <v>73.747840397647437</v>
      </c>
      <c r="DJ58" s="17">
        <f t="shared" si="43"/>
        <v>66.937577557602964</v>
      </c>
      <c r="DK58" s="17">
        <f t="shared" si="44"/>
        <v>60.95160649125188</v>
      </c>
      <c r="DL58" s="17">
        <f t="shared" si="45"/>
        <v>55.798437008901061</v>
      </c>
      <c r="DM58" s="17">
        <f t="shared" si="46"/>
        <v>51.476003720167924</v>
      </c>
      <c r="DN58" s="17">
        <f t="shared" si="47"/>
        <v>47.972377565946914</v>
      </c>
      <c r="DO58" s="17">
        <f t="shared" si="48"/>
        <v>45.26656481940622</v>
      </c>
      <c r="DP58" s="17">
        <f t="shared" si="49"/>
        <v>43.329351469462054</v>
      </c>
      <c r="DQ58" s="17">
        <f t="shared" si="50"/>
        <v>42.124156982632321</v>
      </c>
      <c r="DR58" s="17">
        <f t="shared" si="51"/>
        <v>41.607868924208518</v>
      </c>
      <c r="DS58" s="17">
        <f t="shared" si="52"/>
        <v>41.731638012331871</v>
      </c>
      <c r="DT58" s="17">
        <f t="shared" si="53"/>
        <v>42.441621121626198</v>
      </c>
      <c r="DU58" s="17">
        <f t="shared" si="54"/>
        <v>43.679666903205963</v>
      </c>
      <c r="DV58" s="17">
        <f t="shared" si="55"/>
        <v>45.383944568490769</v>
      </c>
      <c r="DW58" s="17">
        <f t="shared" si="56"/>
        <v>47.489520716122748</v>
      </c>
      <c r="DX58" s="17">
        <f t="shared" si="57"/>
        <v>49.92889179041633</v>
      </c>
      <c r="DY58" s="17">
        <f t="shared" si="58"/>
        <v>52.632480962788314</v>
      </c>
      <c r="DZ58" s="17">
        <f t="shared" si="59"/>
        <v>55.529108197572704</v>
      </c>
      <c r="EA58" s="20">
        <f t="shared" si="60"/>
        <v>58.546441380896432</v>
      </c>
    </row>
    <row r="59" spans="5:131" x14ac:dyDescent="0.25">
      <c r="E59" s="1"/>
      <c r="F59" s="15">
        <v>300</v>
      </c>
      <c r="G59" s="16">
        <f t="shared" si="61"/>
        <v>279.99075248592408</v>
      </c>
      <c r="H59" s="16">
        <f t="shared" si="62"/>
        <v>260.15976623117001</v>
      </c>
      <c r="I59" s="16">
        <f t="shared" si="63"/>
        <v>240.68189080487437</v>
      </c>
      <c r="J59" s="16">
        <f t="shared" si="64"/>
        <v>221.72527278961994</v>
      </c>
      <c r="K59" s="16">
        <f t="shared" si="65"/>
        <v>203.44829810209524</v>
      </c>
      <c r="L59" s="16">
        <f t="shared" si="66"/>
        <v>185.99686738580419</v>
      </c>
      <c r="M59" s="16">
        <f t="shared" si="67"/>
        <v>169.50208465650357</v>
      </c>
      <c r="N59" s="16">
        <f t="shared" si="68"/>
        <v>154.07841610714499</v>
      </c>
      <c r="O59" s="16">
        <f t="shared" si="69"/>
        <v>139.82235048648116</v>
      </c>
      <c r="P59" s="16">
        <f t="shared" si="70"/>
        <v>126.81156664573939</v>
      </c>
      <c r="Q59" s="16">
        <f t="shared" si="71"/>
        <v>115.10458953398107</v>
      </c>
      <c r="R59" s="16">
        <f t="shared" si="72"/>
        <v>104.74089473192751</v>
      </c>
      <c r="S59" s="16">
        <f t="shared" si="14"/>
        <v>95.741404816158393</v>
      </c>
      <c r="T59" s="16">
        <f t="shared" si="15"/>
        <v>88.109309271680502</v>
      </c>
      <c r="U59" s="16">
        <f t="shared" si="16"/>
        <v>81.831133667011088</v>
      </c>
      <c r="V59" s="16">
        <f t="shared" si="17"/>
        <v>76.877983235760055</v>
      </c>
      <c r="W59" s="16">
        <f t="shared" si="18"/>
        <v>73.206890301362392</v>
      </c>
      <c r="X59" s="16">
        <f t="shared" si="19"/>
        <v>70.76220321782904</v>
      </c>
      <c r="Y59" s="16">
        <f t="shared" si="20"/>
        <v>69.476965524833489</v>
      </c>
      <c r="Z59" s="16">
        <f t="shared" si="21"/>
        <v>69.274246568514457</v>
      </c>
      <c r="AA59" s="16">
        <f t="shared" si="22"/>
        <v>70.068397679613668</v>
      </c>
      <c r="AB59" s="16">
        <f t="shared" si="23"/>
        <v>71.766220025098946</v>
      </c>
      <c r="AC59" s="16">
        <f t="shared" si="24"/>
        <v>74.26804058631717</v>
      </c>
      <c r="AD59" s="16">
        <f t="shared" si="25"/>
        <v>77.468700787505384</v>
      </c>
      <c r="AE59" s="16">
        <f t="shared" si="26"/>
        <v>81.258467845358268</v>
      </c>
      <c r="AF59" s="16">
        <f t="shared" si="27"/>
        <v>85.523881987496125</v>
      </c>
      <c r="AG59" s="16">
        <f t="shared" si="28"/>
        <v>90.148553619712771</v>
      </c>
      <c r="AH59" s="16">
        <f t="shared" si="8"/>
        <v>95.013923835586709</v>
      </c>
      <c r="AI59" s="15">
        <v>100</v>
      </c>
      <c r="AK59" s="1"/>
      <c r="AL59" s="20">
        <f t="shared" si="13"/>
        <v>-1076400000</v>
      </c>
      <c r="AM59" s="17">
        <f t="shared" si="73"/>
        <v>-1003917198.4116828</v>
      </c>
      <c r="AN59" s="17">
        <f t="shared" si="74"/>
        <v>-932087196.68646324</v>
      </c>
      <c r="AO59" s="17">
        <f t="shared" si="75"/>
        <v>-861550087.78753579</v>
      </c>
      <c r="AP59" s="17">
        <f t="shared" si="76"/>
        <v>-792921010.59150124</v>
      </c>
      <c r="AQ59" s="17">
        <f t="shared" si="77"/>
        <v>-726778794.18320334</v>
      </c>
      <c r="AR59" s="17">
        <f t="shared" si="78"/>
        <v>-663655871.77779412</v>
      </c>
      <c r="AS59" s="17">
        <f t="shared" si="79"/>
        <v>-604029767.43101072</v>
      </c>
      <c r="AT59" s="17">
        <f t="shared" si="80"/>
        <v>-548316368.30248773</v>
      </c>
      <c r="AU59" s="17">
        <f t="shared" si="81"/>
        <v>-496865096.45168775</v>
      </c>
      <c r="AV59" s="17">
        <f t="shared" si="82"/>
        <v>-449955994.41316748</v>
      </c>
      <c r="AW59" s="17">
        <f t="shared" si="83"/>
        <v>-407798645.30460012</v>
      </c>
      <c r="AX59" s="17">
        <f t="shared" si="84"/>
        <v>-370532767.27507573</v>
      </c>
      <c r="AY59" s="17">
        <f t="shared" si="85"/>
        <v>-338230258.6155991</v>
      </c>
      <c r="AZ59" s="17">
        <f t="shared" si="86"/>
        <v>-310898426.98764664</v>
      </c>
      <c r="BA59" s="17">
        <f t="shared" si="87"/>
        <v>-288484115.21134931</v>
      </c>
      <c r="BB59" s="17">
        <f t="shared" si="88"/>
        <v>-270878436.21757996</v>
      </c>
      <c r="BC59" s="17">
        <f t="shared" si="89"/>
        <v>-257921848.72663465</v>
      </c>
      <c r="BD59" s="17">
        <f t="shared" si="90"/>
        <v>-249409339.23333612</v>
      </c>
      <c r="BE59" s="17">
        <f t="shared" si="91"/>
        <v>-245095520.31839582</v>
      </c>
      <c r="BF59" s="17">
        <f t="shared" si="92"/>
        <v>-244699505.14501572</v>
      </c>
      <c r="BG59" s="17">
        <f t="shared" si="93"/>
        <v>-247909468.33710799</v>
      </c>
      <c r="BH59" s="17">
        <f t="shared" si="94"/>
        <v>-254386849.9526706</v>
      </c>
      <c r="BI59" s="17">
        <f t="shared" si="95"/>
        <v>-263770198.59251815</v>
      </c>
      <c r="BJ59" s="17">
        <f t="shared" si="29"/>
        <v>-275678679.63987637</v>
      </c>
      <c r="BK59" s="17">
        <f t="shared" si="30"/>
        <v>-289715294.31888074</v>
      </c>
      <c r="BL59" s="17">
        <f t="shared" si="31"/>
        <v>-305469865.04501736</v>
      </c>
      <c r="BM59" s="17">
        <f t="shared" si="32"/>
        <v>-322521843.84679288</v>
      </c>
      <c r="BN59" s="17">
        <f t="shared" si="33"/>
        <v>-340442995.6895659</v>
      </c>
      <c r="BO59" s="20">
        <f t="shared" si="34"/>
        <v>-358800000</v>
      </c>
      <c r="BQ59" s="1"/>
      <c r="BR59" s="20">
        <v>0</v>
      </c>
      <c r="BS59" s="18">
        <f t="shared" si="10"/>
        <v>0.34159220146222585</v>
      </c>
      <c r="BT59" s="18">
        <f t="shared" si="99"/>
        <v>0.38671628039714145</v>
      </c>
      <c r="BU59" s="18">
        <f t="shared" si="99"/>
        <v>0.39358441341045358</v>
      </c>
      <c r="BV59" s="18">
        <f t="shared" si="99"/>
        <v>0.39465123071155617</v>
      </c>
      <c r="BW59" s="18">
        <f t="shared" si="99"/>
        <v>0.39481745705771343</v>
      </c>
      <c r="BX59" s="18">
        <f t="shared" si="99"/>
        <v>0.39484337025824812</v>
      </c>
      <c r="BY59" s="18">
        <f t="shared" si="99"/>
        <v>0.39484741020089803</v>
      </c>
      <c r="BZ59" s="18">
        <f t="shared" si="99"/>
        <v>0.39484804004704999</v>
      </c>
      <c r="CA59" s="18">
        <f t="shared" si="99"/>
        <v>0.3948481382432229</v>
      </c>
      <c r="CB59" s="18">
        <f t="shared" si="99"/>
        <v>0.39484815355250291</v>
      </c>
      <c r="CC59" s="18">
        <f t="shared" si="99"/>
        <v>0.39484815593929723</v>
      </c>
      <c r="CD59" s="18">
        <f t="shared" si="99"/>
        <v>0.39484815631141057</v>
      </c>
      <c r="CE59" s="18">
        <f t="shared" si="99"/>
        <v>0.39484815636942489</v>
      </c>
      <c r="CF59" s="18">
        <f t="shared" si="99"/>
        <v>0.39484815637846959</v>
      </c>
      <c r="CG59" s="18">
        <f t="shared" si="99"/>
        <v>0.39484815637987974</v>
      </c>
      <c r="CH59" s="18">
        <f t="shared" si="99"/>
        <v>0.39484815638009962</v>
      </c>
      <c r="CI59" s="18">
        <f t="shared" si="99"/>
        <v>0.39484815638013382</v>
      </c>
      <c r="CJ59" s="18">
        <f t="shared" si="99"/>
        <v>0.39484815638013915</v>
      </c>
      <c r="CK59" s="18">
        <f t="shared" si="99"/>
        <v>0.39484815638013998</v>
      </c>
      <c r="CL59" s="18">
        <f t="shared" si="99"/>
        <v>0.39484815638014015</v>
      </c>
      <c r="CM59" s="18">
        <f t="shared" si="99"/>
        <v>0.39484815638014015</v>
      </c>
      <c r="CN59" s="18">
        <f t="shared" si="99"/>
        <v>0.39484815638014015</v>
      </c>
      <c r="CO59" s="18">
        <f t="shared" si="99"/>
        <v>0.39484815638014015</v>
      </c>
      <c r="CP59" s="18">
        <f t="shared" si="99"/>
        <v>0.39484815638014015</v>
      </c>
      <c r="CQ59" s="18">
        <f t="shared" si="99"/>
        <v>0.39484815638014015</v>
      </c>
      <c r="CR59" s="18">
        <f t="shared" si="99"/>
        <v>0.39484815638014015</v>
      </c>
      <c r="CS59" s="18">
        <f t="shared" si="99"/>
        <v>0.39484815638014015</v>
      </c>
      <c r="CT59" s="18">
        <f t="shared" si="99"/>
        <v>0.39484815638014015</v>
      </c>
      <c r="CU59" s="20">
        <f t="shared" si="99"/>
        <v>0.39484815638014015</v>
      </c>
      <c r="CW59" s="1"/>
      <c r="CX59" s="20">
        <f t="shared" si="11"/>
        <v>300</v>
      </c>
      <c r="CY59" s="17">
        <f t="shared" si="12"/>
        <v>191.12220520712069</v>
      </c>
      <c r="CZ59" s="17">
        <f t="shared" si="96"/>
        <v>167.08416066015801</v>
      </c>
      <c r="DA59" s="17">
        <f t="shared" si="97"/>
        <v>153.41427937569901</v>
      </c>
      <c r="DB59" s="17">
        <f t="shared" si="98"/>
        <v>141.43415155745649</v>
      </c>
      <c r="DC59" s="17">
        <f t="shared" si="36"/>
        <v>130.01348790013128</v>
      </c>
      <c r="DD59" s="17">
        <f t="shared" si="37"/>
        <v>119.07009301423145</v>
      </c>
      <c r="DE59" s="17">
        <f t="shared" si="38"/>
        <v>108.66462108874103</v>
      </c>
      <c r="DF59" s="17">
        <f t="shared" si="39"/>
        <v>98.869835062786223</v>
      </c>
      <c r="DG59" s="17">
        <f t="shared" si="40"/>
        <v>89.751039488704578</v>
      </c>
      <c r="DH59" s="17">
        <f t="shared" si="41"/>
        <v>81.36273200282821</v>
      </c>
      <c r="DI59" s="17">
        <f t="shared" si="42"/>
        <v>73.747840397647437</v>
      </c>
      <c r="DJ59" s="17">
        <f t="shared" si="43"/>
        <v>66.937577557602964</v>
      </c>
      <c r="DK59" s="17">
        <f t="shared" si="44"/>
        <v>60.951606491251873</v>
      </c>
      <c r="DL59" s="17">
        <f t="shared" si="45"/>
        <v>55.798437008901061</v>
      </c>
      <c r="DM59" s="17">
        <f t="shared" si="46"/>
        <v>51.476003720167924</v>
      </c>
      <c r="DN59" s="17">
        <f t="shared" si="47"/>
        <v>47.972377565946914</v>
      </c>
      <c r="DO59" s="17">
        <f t="shared" si="48"/>
        <v>45.26656481940622</v>
      </c>
      <c r="DP59" s="17">
        <f t="shared" si="49"/>
        <v>43.329351469462054</v>
      </c>
      <c r="DQ59" s="17">
        <f t="shared" si="50"/>
        <v>42.124156982632321</v>
      </c>
      <c r="DR59" s="17">
        <f t="shared" si="51"/>
        <v>41.607868924208518</v>
      </c>
      <c r="DS59" s="17">
        <f t="shared" si="52"/>
        <v>41.731638012331857</v>
      </c>
      <c r="DT59" s="17">
        <f t="shared" si="53"/>
        <v>42.441621121626184</v>
      </c>
      <c r="DU59" s="17">
        <f t="shared" si="54"/>
        <v>43.679666903205955</v>
      </c>
      <c r="DV59" s="17">
        <f t="shared" si="55"/>
        <v>45.383944568490769</v>
      </c>
      <c r="DW59" s="17">
        <f t="shared" si="56"/>
        <v>47.489520716122748</v>
      </c>
      <c r="DX59" s="17">
        <f t="shared" si="57"/>
        <v>49.92889179041633</v>
      </c>
      <c r="DY59" s="17">
        <f t="shared" si="58"/>
        <v>52.632480962788307</v>
      </c>
      <c r="DZ59" s="17">
        <f t="shared" si="59"/>
        <v>55.529108197572697</v>
      </c>
      <c r="EA59" s="20">
        <f t="shared" si="60"/>
        <v>58.546441380896432</v>
      </c>
    </row>
    <row r="60" spans="5:131" x14ac:dyDescent="0.25">
      <c r="E60" s="1"/>
      <c r="F60" s="15">
        <v>300</v>
      </c>
      <c r="G60" s="16">
        <f t="shared" si="61"/>
        <v>279.99075248592408</v>
      </c>
      <c r="H60" s="16">
        <f t="shared" si="62"/>
        <v>260.15976623116995</v>
      </c>
      <c r="I60" s="16">
        <f t="shared" si="63"/>
        <v>240.68189080487437</v>
      </c>
      <c r="J60" s="16">
        <f t="shared" si="64"/>
        <v>221.72527278961991</v>
      </c>
      <c r="K60" s="16">
        <f t="shared" si="65"/>
        <v>203.44829810209521</v>
      </c>
      <c r="L60" s="16">
        <f t="shared" si="66"/>
        <v>185.99686738580417</v>
      </c>
      <c r="M60" s="16">
        <f t="shared" si="67"/>
        <v>169.50208465650354</v>
      </c>
      <c r="N60" s="16">
        <f t="shared" si="68"/>
        <v>154.07841610714499</v>
      </c>
      <c r="O60" s="16">
        <f t="shared" si="69"/>
        <v>139.82235048648116</v>
      </c>
      <c r="P60" s="16">
        <f t="shared" si="70"/>
        <v>126.81156664573936</v>
      </c>
      <c r="Q60" s="16">
        <f t="shared" si="71"/>
        <v>115.10458953398103</v>
      </c>
      <c r="R60" s="16">
        <f t="shared" si="72"/>
        <v>104.74089473192747</v>
      </c>
      <c r="S60" s="16">
        <f t="shared" si="14"/>
        <v>95.741404816158365</v>
      </c>
      <c r="T60" s="16">
        <f t="shared" si="15"/>
        <v>88.109309271680473</v>
      </c>
      <c r="U60" s="16">
        <f t="shared" si="16"/>
        <v>81.831133667011045</v>
      </c>
      <c r="V60" s="16">
        <f t="shared" si="17"/>
        <v>76.877983235760027</v>
      </c>
      <c r="W60" s="16">
        <f t="shared" si="18"/>
        <v>73.206890301362364</v>
      </c>
      <c r="X60" s="16">
        <f t="shared" si="19"/>
        <v>70.762203217829011</v>
      </c>
      <c r="Y60" s="16">
        <f t="shared" si="20"/>
        <v>69.476965524833446</v>
      </c>
      <c r="Z60" s="16">
        <f t="shared" si="21"/>
        <v>69.274246568514428</v>
      </c>
      <c r="AA60" s="16">
        <f t="shared" si="22"/>
        <v>70.068397679613653</v>
      </c>
      <c r="AB60" s="16">
        <f t="shared" si="23"/>
        <v>71.766220025098932</v>
      </c>
      <c r="AC60" s="16">
        <f t="shared" si="24"/>
        <v>74.26804058631717</v>
      </c>
      <c r="AD60" s="16">
        <f t="shared" si="25"/>
        <v>77.468700787505384</v>
      </c>
      <c r="AE60" s="16">
        <f t="shared" si="26"/>
        <v>81.258467845358268</v>
      </c>
      <c r="AF60" s="16">
        <f t="shared" si="27"/>
        <v>85.523881987496125</v>
      </c>
      <c r="AG60" s="16">
        <f t="shared" si="28"/>
        <v>90.148553619712771</v>
      </c>
      <c r="AH60" s="16">
        <f t="shared" si="8"/>
        <v>95.013923835586709</v>
      </c>
      <c r="AI60" s="15">
        <v>100</v>
      </c>
      <c r="AK60" s="1"/>
      <c r="AL60" s="20">
        <f t="shared" si="13"/>
        <v>-1076400000</v>
      </c>
      <c r="AM60" s="17">
        <f t="shared" si="73"/>
        <v>-1003917198.4116828</v>
      </c>
      <c r="AN60" s="17">
        <f t="shared" si="74"/>
        <v>-932087196.686463</v>
      </c>
      <c r="AO60" s="17">
        <f t="shared" si="75"/>
        <v>-861550087.78753555</v>
      </c>
      <c r="AP60" s="17">
        <f t="shared" si="76"/>
        <v>-792921010.591501</v>
      </c>
      <c r="AQ60" s="17">
        <f t="shared" si="77"/>
        <v>-726778794.1832031</v>
      </c>
      <c r="AR60" s="17">
        <f t="shared" si="78"/>
        <v>-663655871.777794</v>
      </c>
      <c r="AS60" s="17">
        <f t="shared" si="79"/>
        <v>-604029767.43101072</v>
      </c>
      <c r="AT60" s="17">
        <f t="shared" si="80"/>
        <v>-548316368.30248773</v>
      </c>
      <c r="AU60" s="17">
        <f t="shared" si="81"/>
        <v>-496865096.45168769</v>
      </c>
      <c r="AV60" s="17">
        <f t="shared" si="82"/>
        <v>-449955994.41316742</v>
      </c>
      <c r="AW60" s="17">
        <f t="shared" si="83"/>
        <v>-407798645.3046</v>
      </c>
      <c r="AX60" s="17">
        <f t="shared" si="84"/>
        <v>-370532767.27507573</v>
      </c>
      <c r="AY60" s="17">
        <f t="shared" si="85"/>
        <v>-338230258.61559904</v>
      </c>
      <c r="AZ60" s="17">
        <f t="shared" si="86"/>
        <v>-310898426.98764652</v>
      </c>
      <c r="BA60" s="17">
        <f t="shared" si="87"/>
        <v>-288484115.21134925</v>
      </c>
      <c r="BB60" s="17">
        <f t="shared" si="88"/>
        <v>-270878436.21757996</v>
      </c>
      <c r="BC60" s="17">
        <f t="shared" si="89"/>
        <v>-257921848.72663453</v>
      </c>
      <c r="BD60" s="17">
        <f t="shared" si="90"/>
        <v>-249409339.23333606</v>
      </c>
      <c r="BE60" s="17">
        <f t="shared" si="91"/>
        <v>-245095520.3183957</v>
      </c>
      <c r="BF60" s="17">
        <f t="shared" si="92"/>
        <v>-244699505.1450156</v>
      </c>
      <c r="BG60" s="17">
        <f t="shared" si="93"/>
        <v>-247909468.33710796</v>
      </c>
      <c r="BH60" s="17">
        <f t="shared" si="94"/>
        <v>-254386849.95267048</v>
      </c>
      <c r="BI60" s="17">
        <f t="shared" si="95"/>
        <v>-263770198.59251812</v>
      </c>
      <c r="BJ60" s="17">
        <f t="shared" si="29"/>
        <v>-275678679.63987637</v>
      </c>
      <c r="BK60" s="17">
        <f t="shared" si="30"/>
        <v>-289715294.31888074</v>
      </c>
      <c r="BL60" s="17">
        <f t="shared" si="31"/>
        <v>-305469865.04501736</v>
      </c>
      <c r="BM60" s="17">
        <f t="shared" si="32"/>
        <v>-322521843.84679288</v>
      </c>
      <c r="BN60" s="17">
        <f t="shared" si="33"/>
        <v>-340442995.6895659</v>
      </c>
      <c r="BO60" s="20">
        <f t="shared" si="34"/>
        <v>-358800000</v>
      </c>
      <c r="BQ60" s="1"/>
      <c r="BR60" s="20">
        <v>0</v>
      </c>
      <c r="BS60" s="18">
        <f t="shared" si="10"/>
        <v>0.34159220146222585</v>
      </c>
      <c r="BT60" s="18">
        <f t="shared" si="99"/>
        <v>0.38671628039714145</v>
      </c>
      <c r="BU60" s="18">
        <f t="shared" si="99"/>
        <v>0.39358441341045358</v>
      </c>
      <c r="BV60" s="18">
        <f t="shared" si="99"/>
        <v>0.39465123071155617</v>
      </c>
      <c r="BW60" s="18">
        <f t="shared" si="99"/>
        <v>0.39481745705771343</v>
      </c>
      <c r="BX60" s="18">
        <f t="shared" si="99"/>
        <v>0.39484337025824812</v>
      </c>
      <c r="BY60" s="18">
        <f t="shared" si="99"/>
        <v>0.39484741020089803</v>
      </c>
      <c r="BZ60" s="18">
        <f t="shared" si="99"/>
        <v>0.39484804004704999</v>
      </c>
      <c r="CA60" s="18">
        <f t="shared" si="99"/>
        <v>0.3948481382432229</v>
      </c>
      <c r="CB60" s="18">
        <f t="shared" si="99"/>
        <v>0.39484815355250291</v>
      </c>
      <c r="CC60" s="18">
        <f t="shared" si="99"/>
        <v>0.39484815593929723</v>
      </c>
      <c r="CD60" s="18">
        <f t="shared" si="99"/>
        <v>0.39484815631141057</v>
      </c>
      <c r="CE60" s="18">
        <f t="shared" si="99"/>
        <v>0.39484815636942489</v>
      </c>
      <c r="CF60" s="18">
        <f t="shared" si="99"/>
        <v>0.39484815637846959</v>
      </c>
      <c r="CG60" s="18">
        <f t="shared" si="99"/>
        <v>0.39484815637987974</v>
      </c>
      <c r="CH60" s="18">
        <f t="shared" si="99"/>
        <v>0.39484815638009962</v>
      </c>
      <c r="CI60" s="18">
        <f t="shared" si="99"/>
        <v>0.39484815638013382</v>
      </c>
      <c r="CJ60" s="18">
        <f t="shared" si="99"/>
        <v>0.39484815638013915</v>
      </c>
      <c r="CK60" s="18">
        <f t="shared" si="99"/>
        <v>0.39484815638013998</v>
      </c>
      <c r="CL60" s="18">
        <f t="shared" si="99"/>
        <v>0.39484815638014015</v>
      </c>
      <c r="CM60" s="18">
        <f t="shared" si="99"/>
        <v>0.39484815638014015</v>
      </c>
      <c r="CN60" s="18">
        <f t="shared" si="99"/>
        <v>0.39484815638014015</v>
      </c>
      <c r="CO60" s="18">
        <f t="shared" si="99"/>
        <v>0.39484815638014015</v>
      </c>
      <c r="CP60" s="18">
        <f t="shared" si="99"/>
        <v>0.39484815638014015</v>
      </c>
      <c r="CQ60" s="18">
        <f t="shared" si="99"/>
        <v>0.39484815638014015</v>
      </c>
      <c r="CR60" s="18">
        <f t="shared" ref="BT60:CU62" si="100">$C$16/($C$17-($C$18*CQ60))</f>
        <v>0.39484815638014015</v>
      </c>
      <c r="CS60" s="18">
        <f t="shared" si="100"/>
        <v>0.39484815638014015</v>
      </c>
      <c r="CT60" s="18">
        <f t="shared" si="100"/>
        <v>0.39484815638014015</v>
      </c>
      <c r="CU60" s="20">
        <f t="shared" si="100"/>
        <v>0.39484815638014015</v>
      </c>
      <c r="CW60" s="1"/>
      <c r="CX60" s="20">
        <f t="shared" si="11"/>
        <v>300</v>
      </c>
      <c r="CY60" s="17">
        <f t="shared" si="12"/>
        <v>191.12220520712069</v>
      </c>
      <c r="CZ60" s="17">
        <f t="shared" si="96"/>
        <v>167.08416066015798</v>
      </c>
      <c r="DA60" s="17">
        <f t="shared" si="97"/>
        <v>153.41427937569901</v>
      </c>
      <c r="DB60" s="17">
        <f t="shared" si="98"/>
        <v>141.43415155745646</v>
      </c>
      <c r="DC60" s="17">
        <f t="shared" si="36"/>
        <v>130.01348790013125</v>
      </c>
      <c r="DD60" s="17">
        <f t="shared" si="37"/>
        <v>119.07009301423142</v>
      </c>
      <c r="DE60" s="17">
        <f t="shared" si="38"/>
        <v>108.66462108874101</v>
      </c>
      <c r="DF60" s="17">
        <f t="shared" si="39"/>
        <v>98.869835062786208</v>
      </c>
      <c r="DG60" s="17">
        <f t="shared" si="40"/>
        <v>89.751039488704578</v>
      </c>
      <c r="DH60" s="17">
        <f t="shared" si="41"/>
        <v>81.362732002828196</v>
      </c>
      <c r="DI60" s="17">
        <f t="shared" si="42"/>
        <v>73.747840397647408</v>
      </c>
      <c r="DJ60" s="17">
        <f t="shared" si="43"/>
        <v>66.937577557602935</v>
      </c>
      <c r="DK60" s="17">
        <f t="shared" si="44"/>
        <v>60.951606491251859</v>
      </c>
      <c r="DL60" s="17">
        <f t="shared" si="45"/>
        <v>55.79843700890104</v>
      </c>
      <c r="DM60" s="17">
        <f t="shared" si="46"/>
        <v>51.476003720167903</v>
      </c>
      <c r="DN60" s="17">
        <f t="shared" si="47"/>
        <v>47.9723775659469</v>
      </c>
      <c r="DO60" s="17">
        <f t="shared" si="48"/>
        <v>45.266564819406206</v>
      </c>
      <c r="DP60" s="17">
        <f t="shared" si="49"/>
        <v>43.32935146946204</v>
      </c>
      <c r="DQ60" s="17">
        <f t="shared" si="50"/>
        <v>42.124156982632293</v>
      </c>
      <c r="DR60" s="17">
        <f t="shared" si="51"/>
        <v>41.607868924208489</v>
      </c>
      <c r="DS60" s="17">
        <f t="shared" si="52"/>
        <v>41.73163801233185</v>
      </c>
      <c r="DT60" s="17">
        <f t="shared" si="53"/>
        <v>42.441621121626177</v>
      </c>
      <c r="DU60" s="17">
        <f t="shared" si="54"/>
        <v>43.679666903205955</v>
      </c>
      <c r="DV60" s="17">
        <f t="shared" si="55"/>
        <v>45.383944568490769</v>
      </c>
      <c r="DW60" s="17">
        <f t="shared" si="56"/>
        <v>47.489520716122748</v>
      </c>
      <c r="DX60" s="17">
        <f t="shared" si="57"/>
        <v>49.92889179041633</v>
      </c>
      <c r="DY60" s="17">
        <f t="shared" si="58"/>
        <v>52.632480962788307</v>
      </c>
      <c r="DZ60" s="17">
        <f t="shared" si="59"/>
        <v>55.529108197572697</v>
      </c>
      <c r="EA60" s="20">
        <f t="shared" si="60"/>
        <v>58.546441380896432</v>
      </c>
    </row>
    <row r="61" spans="5:131" x14ac:dyDescent="0.25">
      <c r="E61" s="1"/>
      <c r="F61" s="15">
        <v>300</v>
      </c>
      <c r="G61" s="16">
        <f t="shared" si="61"/>
        <v>279.99075248592408</v>
      </c>
      <c r="H61" s="16">
        <f t="shared" si="62"/>
        <v>260.15976623116995</v>
      </c>
      <c r="I61" s="16">
        <f t="shared" si="63"/>
        <v>240.68189080487434</v>
      </c>
      <c r="J61" s="16">
        <f t="shared" si="64"/>
        <v>221.72527278961985</v>
      </c>
      <c r="K61" s="16">
        <f t="shared" si="65"/>
        <v>203.44829810209518</v>
      </c>
      <c r="L61" s="16">
        <f t="shared" si="66"/>
        <v>185.99686738580414</v>
      </c>
      <c r="M61" s="16">
        <f t="shared" si="67"/>
        <v>169.50208465650351</v>
      </c>
      <c r="N61" s="16">
        <f t="shared" si="68"/>
        <v>154.07841610714493</v>
      </c>
      <c r="O61" s="16">
        <f t="shared" si="69"/>
        <v>139.8223504864811</v>
      </c>
      <c r="P61" s="16">
        <f t="shared" si="70"/>
        <v>126.81156664573933</v>
      </c>
      <c r="Q61" s="16">
        <f t="shared" si="71"/>
        <v>115.10458953398101</v>
      </c>
      <c r="R61" s="16">
        <f t="shared" si="72"/>
        <v>104.74089473192745</v>
      </c>
      <c r="S61" s="16">
        <f t="shared" si="14"/>
        <v>95.741404816158351</v>
      </c>
      <c r="T61" s="16">
        <f t="shared" si="15"/>
        <v>88.109309271680473</v>
      </c>
      <c r="U61" s="16">
        <f t="shared" si="16"/>
        <v>81.831133667011045</v>
      </c>
      <c r="V61" s="16">
        <f t="shared" si="17"/>
        <v>76.877983235760027</v>
      </c>
      <c r="W61" s="16">
        <f t="shared" si="18"/>
        <v>73.206890301362364</v>
      </c>
      <c r="X61" s="16">
        <f t="shared" si="19"/>
        <v>70.762203217829011</v>
      </c>
      <c r="Y61" s="16">
        <f t="shared" si="20"/>
        <v>69.476965524833446</v>
      </c>
      <c r="Z61" s="16">
        <f t="shared" si="21"/>
        <v>69.274246568514428</v>
      </c>
      <c r="AA61" s="16">
        <f t="shared" si="22"/>
        <v>70.068397679613653</v>
      </c>
      <c r="AB61" s="16">
        <f t="shared" si="23"/>
        <v>71.766220025098932</v>
      </c>
      <c r="AC61" s="16">
        <f t="shared" si="24"/>
        <v>74.268040586317142</v>
      </c>
      <c r="AD61" s="16">
        <f t="shared" si="25"/>
        <v>77.468700787505355</v>
      </c>
      <c r="AE61" s="16">
        <f t="shared" si="26"/>
        <v>81.258467845358268</v>
      </c>
      <c r="AF61" s="16">
        <f t="shared" si="27"/>
        <v>85.523881987496125</v>
      </c>
      <c r="AG61" s="16">
        <f t="shared" si="28"/>
        <v>90.148553619712771</v>
      </c>
      <c r="AH61" s="16">
        <f t="shared" si="8"/>
        <v>95.013923835586709</v>
      </c>
      <c r="AI61" s="15">
        <v>100</v>
      </c>
      <c r="AK61" s="1"/>
      <c r="AL61" s="20">
        <f t="shared" si="13"/>
        <v>-1076400000</v>
      </c>
      <c r="AM61" s="17">
        <f t="shared" si="73"/>
        <v>-1003917198.4116828</v>
      </c>
      <c r="AN61" s="17">
        <f t="shared" si="74"/>
        <v>-932087196.686463</v>
      </c>
      <c r="AO61" s="17">
        <f t="shared" si="75"/>
        <v>-861550087.78753555</v>
      </c>
      <c r="AP61" s="17">
        <f t="shared" si="76"/>
        <v>-792921010.59150076</v>
      </c>
      <c r="AQ61" s="17">
        <f t="shared" si="77"/>
        <v>-726778794.18320298</v>
      </c>
      <c r="AR61" s="17">
        <f t="shared" si="78"/>
        <v>-663655871.77779388</v>
      </c>
      <c r="AS61" s="17">
        <f t="shared" si="79"/>
        <v>-604029767.43101072</v>
      </c>
      <c r="AT61" s="17">
        <f t="shared" si="80"/>
        <v>-548316368.30248761</v>
      </c>
      <c r="AU61" s="17">
        <f t="shared" si="81"/>
        <v>-496865096.45168757</v>
      </c>
      <c r="AV61" s="17">
        <f t="shared" si="82"/>
        <v>-449955994.4131673</v>
      </c>
      <c r="AW61" s="17">
        <f t="shared" si="83"/>
        <v>-407798645.3046</v>
      </c>
      <c r="AX61" s="17">
        <f t="shared" si="84"/>
        <v>-370532767.27507567</v>
      </c>
      <c r="AY61" s="17">
        <f t="shared" si="85"/>
        <v>-338230258.61559898</v>
      </c>
      <c r="AZ61" s="17">
        <f t="shared" si="86"/>
        <v>-310898426.98764652</v>
      </c>
      <c r="BA61" s="17">
        <f t="shared" si="87"/>
        <v>-288484115.21134919</v>
      </c>
      <c r="BB61" s="17">
        <f t="shared" si="88"/>
        <v>-270878436.21757996</v>
      </c>
      <c r="BC61" s="17">
        <f t="shared" si="89"/>
        <v>-257921848.72663453</v>
      </c>
      <c r="BD61" s="17">
        <f t="shared" si="90"/>
        <v>-249409339.23333603</v>
      </c>
      <c r="BE61" s="17">
        <f t="shared" si="91"/>
        <v>-245095520.3183957</v>
      </c>
      <c r="BF61" s="17">
        <f t="shared" si="92"/>
        <v>-244699505.1450156</v>
      </c>
      <c r="BG61" s="17">
        <f t="shared" si="93"/>
        <v>-247909468.3371079</v>
      </c>
      <c r="BH61" s="17">
        <f t="shared" si="94"/>
        <v>-254386849.95267048</v>
      </c>
      <c r="BI61" s="17">
        <f t="shared" si="95"/>
        <v>-263770198.59251806</v>
      </c>
      <c r="BJ61" s="17">
        <f t="shared" si="29"/>
        <v>-275678679.63987637</v>
      </c>
      <c r="BK61" s="17">
        <f t="shared" si="30"/>
        <v>-289715294.31888074</v>
      </c>
      <c r="BL61" s="17">
        <f t="shared" si="31"/>
        <v>-305469865.04501736</v>
      </c>
      <c r="BM61" s="17">
        <f t="shared" si="32"/>
        <v>-322521843.84679288</v>
      </c>
      <c r="BN61" s="17">
        <f t="shared" si="33"/>
        <v>-340442995.6895659</v>
      </c>
      <c r="BO61" s="20">
        <f t="shared" si="34"/>
        <v>-358800000</v>
      </c>
      <c r="BQ61" s="1"/>
      <c r="BR61" s="20">
        <v>0</v>
      </c>
      <c r="BS61" s="18">
        <f t="shared" si="10"/>
        <v>0.34159220146222585</v>
      </c>
      <c r="BT61" s="18">
        <f t="shared" si="100"/>
        <v>0.38671628039714145</v>
      </c>
      <c r="BU61" s="18">
        <f t="shared" si="100"/>
        <v>0.39358441341045358</v>
      </c>
      <c r="BV61" s="18">
        <f t="shared" si="100"/>
        <v>0.39465123071155617</v>
      </c>
      <c r="BW61" s="18">
        <f t="shared" si="100"/>
        <v>0.39481745705771343</v>
      </c>
      <c r="BX61" s="18">
        <f t="shared" si="100"/>
        <v>0.39484337025824812</v>
      </c>
      <c r="BY61" s="18">
        <f t="shared" si="100"/>
        <v>0.39484741020089803</v>
      </c>
      <c r="BZ61" s="18">
        <f t="shared" si="100"/>
        <v>0.39484804004704999</v>
      </c>
      <c r="CA61" s="18">
        <f t="shared" si="100"/>
        <v>0.3948481382432229</v>
      </c>
      <c r="CB61" s="18">
        <f t="shared" si="100"/>
        <v>0.39484815355250291</v>
      </c>
      <c r="CC61" s="18">
        <f t="shared" si="100"/>
        <v>0.39484815593929723</v>
      </c>
      <c r="CD61" s="18">
        <f t="shared" si="100"/>
        <v>0.39484815631141057</v>
      </c>
      <c r="CE61" s="18">
        <f t="shared" si="100"/>
        <v>0.39484815636942489</v>
      </c>
      <c r="CF61" s="18">
        <f t="shared" si="100"/>
        <v>0.39484815637846959</v>
      </c>
      <c r="CG61" s="18">
        <f t="shared" si="100"/>
        <v>0.39484815637987974</v>
      </c>
      <c r="CH61" s="18">
        <f t="shared" si="100"/>
        <v>0.39484815638009962</v>
      </c>
      <c r="CI61" s="18">
        <f t="shared" si="100"/>
        <v>0.39484815638013382</v>
      </c>
      <c r="CJ61" s="18">
        <f t="shared" si="100"/>
        <v>0.39484815638013915</v>
      </c>
      <c r="CK61" s="18">
        <f t="shared" si="100"/>
        <v>0.39484815638013998</v>
      </c>
      <c r="CL61" s="18">
        <f t="shared" si="100"/>
        <v>0.39484815638014015</v>
      </c>
      <c r="CM61" s="18">
        <f t="shared" si="100"/>
        <v>0.39484815638014015</v>
      </c>
      <c r="CN61" s="18">
        <f t="shared" si="100"/>
        <v>0.39484815638014015</v>
      </c>
      <c r="CO61" s="18">
        <f t="shared" si="100"/>
        <v>0.39484815638014015</v>
      </c>
      <c r="CP61" s="18">
        <f t="shared" si="100"/>
        <v>0.39484815638014015</v>
      </c>
      <c r="CQ61" s="18">
        <f t="shared" si="100"/>
        <v>0.39484815638014015</v>
      </c>
      <c r="CR61" s="18">
        <f t="shared" si="100"/>
        <v>0.39484815638014015</v>
      </c>
      <c r="CS61" s="18">
        <f t="shared" si="100"/>
        <v>0.39484815638014015</v>
      </c>
      <c r="CT61" s="18">
        <f t="shared" si="100"/>
        <v>0.39484815638014015</v>
      </c>
      <c r="CU61" s="20">
        <f t="shared" si="100"/>
        <v>0.39484815638014015</v>
      </c>
      <c r="CW61" s="1"/>
      <c r="CX61" s="20">
        <f t="shared" si="11"/>
        <v>300</v>
      </c>
      <c r="CY61" s="17">
        <f t="shared" si="12"/>
        <v>191.12220520712069</v>
      </c>
      <c r="CZ61" s="17">
        <f t="shared" si="96"/>
        <v>167.08416066015798</v>
      </c>
      <c r="DA61" s="17">
        <f t="shared" si="97"/>
        <v>153.41427937569901</v>
      </c>
      <c r="DB61" s="17">
        <f t="shared" si="98"/>
        <v>141.43415155745643</v>
      </c>
      <c r="DC61" s="17">
        <f t="shared" si="36"/>
        <v>130.01348790013122</v>
      </c>
      <c r="DD61" s="17">
        <f t="shared" si="37"/>
        <v>119.07009301423139</v>
      </c>
      <c r="DE61" s="17">
        <f t="shared" si="38"/>
        <v>108.664621088741</v>
      </c>
      <c r="DF61" s="17">
        <f t="shared" si="39"/>
        <v>98.869835062786194</v>
      </c>
      <c r="DG61" s="17">
        <f t="shared" si="40"/>
        <v>89.751039488704549</v>
      </c>
      <c r="DH61" s="17">
        <f t="shared" si="41"/>
        <v>81.362732002828182</v>
      </c>
      <c r="DI61" s="17">
        <f t="shared" si="42"/>
        <v>73.747840397647408</v>
      </c>
      <c r="DJ61" s="17">
        <f t="shared" si="43"/>
        <v>66.937577557602935</v>
      </c>
      <c r="DK61" s="17">
        <f t="shared" si="44"/>
        <v>60.951606491251844</v>
      </c>
      <c r="DL61" s="17">
        <f t="shared" si="45"/>
        <v>55.79843700890104</v>
      </c>
      <c r="DM61" s="17">
        <f t="shared" si="46"/>
        <v>51.476003720167895</v>
      </c>
      <c r="DN61" s="17">
        <f t="shared" si="47"/>
        <v>47.9723775659469</v>
      </c>
      <c r="DO61" s="17">
        <f t="shared" si="48"/>
        <v>45.266564819406206</v>
      </c>
      <c r="DP61" s="17">
        <f t="shared" si="49"/>
        <v>43.329351469462033</v>
      </c>
      <c r="DQ61" s="17">
        <f t="shared" si="50"/>
        <v>42.124156982632293</v>
      </c>
      <c r="DR61" s="17">
        <f t="shared" si="51"/>
        <v>41.607868924208489</v>
      </c>
      <c r="DS61" s="17">
        <f t="shared" si="52"/>
        <v>41.731638012331842</v>
      </c>
      <c r="DT61" s="17">
        <f t="shared" si="53"/>
        <v>42.441621121626177</v>
      </c>
      <c r="DU61" s="17">
        <f t="shared" si="54"/>
        <v>43.679666903205941</v>
      </c>
      <c r="DV61" s="17">
        <f t="shared" si="55"/>
        <v>45.383944568490755</v>
      </c>
      <c r="DW61" s="17">
        <f t="shared" si="56"/>
        <v>47.489520716122748</v>
      </c>
      <c r="DX61" s="17">
        <f t="shared" si="57"/>
        <v>49.92889179041633</v>
      </c>
      <c r="DY61" s="17">
        <f t="shared" si="58"/>
        <v>52.632480962788307</v>
      </c>
      <c r="DZ61" s="17">
        <f t="shared" si="59"/>
        <v>55.529108197572697</v>
      </c>
      <c r="EA61" s="20">
        <f t="shared" si="60"/>
        <v>58.546441380896432</v>
      </c>
    </row>
    <row r="62" spans="5:131" x14ac:dyDescent="0.25">
      <c r="E62" s="1"/>
      <c r="F62" s="15">
        <v>300</v>
      </c>
      <c r="G62" s="15">
        <f t="shared" si="61"/>
        <v>279.99075248592408</v>
      </c>
      <c r="H62" s="15">
        <f t="shared" si="62"/>
        <v>260.15976623116995</v>
      </c>
      <c r="I62" s="15">
        <f t="shared" si="63"/>
        <v>240.68189080487434</v>
      </c>
      <c r="J62" s="15">
        <f t="shared" si="64"/>
        <v>221.72527278961985</v>
      </c>
      <c r="K62" s="15">
        <f t="shared" si="65"/>
        <v>203.44829810209518</v>
      </c>
      <c r="L62" s="15">
        <f t="shared" si="66"/>
        <v>185.99686738580414</v>
      </c>
      <c r="M62" s="15">
        <f t="shared" si="67"/>
        <v>169.50208465650351</v>
      </c>
      <c r="N62" s="15">
        <f t="shared" si="68"/>
        <v>154.07841610714493</v>
      </c>
      <c r="O62" s="15">
        <f t="shared" si="69"/>
        <v>139.8223504864811</v>
      </c>
      <c r="P62" s="15">
        <f t="shared" si="70"/>
        <v>126.81156664573933</v>
      </c>
      <c r="Q62" s="15">
        <f t="shared" si="71"/>
        <v>115.10458953398101</v>
      </c>
      <c r="R62" s="15">
        <f t="shared" si="72"/>
        <v>104.74089473192745</v>
      </c>
      <c r="S62" s="15">
        <f t="shared" si="14"/>
        <v>95.741404816158351</v>
      </c>
      <c r="T62" s="15">
        <f t="shared" si="15"/>
        <v>88.109309271680473</v>
      </c>
      <c r="U62" s="15">
        <f t="shared" si="16"/>
        <v>81.831133667011045</v>
      </c>
      <c r="V62" s="15">
        <f t="shared" si="17"/>
        <v>76.877983235760027</v>
      </c>
      <c r="W62" s="15">
        <f t="shared" si="18"/>
        <v>73.206890301362364</v>
      </c>
      <c r="X62" s="15">
        <f t="shared" si="19"/>
        <v>70.762203217829011</v>
      </c>
      <c r="Y62" s="15">
        <f t="shared" si="20"/>
        <v>69.476965524833446</v>
      </c>
      <c r="Z62" s="15">
        <f t="shared" si="21"/>
        <v>69.274246568514428</v>
      </c>
      <c r="AA62" s="15">
        <f t="shared" si="22"/>
        <v>70.068397679613653</v>
      </c>
      <c r="AB62" s="15">
        <f t="shared" si="23"/>
        <v>71.766220025098932</v>
      </c>
      <c r="AC62" s="15">
        <f t="shared" si="24"/>
        <v>74.268040586317142</v>
      </c>
      <c r="AD62" s="15">
        <f t="shared" si="25"/>
        <v>77.468700787505355</v>
      </c>
      <c r="AE62" s="15">
        <f t="shared" si="26"/>
        <v>81.258467845358268</v>
      </c>
      <c r="AF62" s="15">
        <f t="shared" si="27"/>
        <v>85.523881987496125</v>
      </c>
      <c r="AG62" s="15">
        <f t="shared" si="28"/>
        <v>90.148553619712771</v>
      </c>
      <c r="AH62" s="15">
        <f t="shared" si="8"/>
        <v>95.013923835586709</v>
      </c>
      <c r="AI62" s="15">
        <v>100</v>
      </c>
      <c r="AK62" s="1"/>
      <c r="AL62" s="20">
        <f t="shared" si="13"/>
        <v>-1076400000</v>
      </c>
      <c r="AM62" s="20">
        <f t="shared" si="73"/>
        <v>-1003917198.4116828</v>
      </c>
      <c r="AN62" s="20">
        <f t="shared" si="74"/>
        <v>-932087196.686463</v>
      </c>
      <c r="AO62" s="20">
        <f t="shared" si="75"/>
        <v>-861550087.78753555</v>
      </c>
      <c r="AP62" s="20">
        <f t="shared" si="76"/>
        <v>-792921010.59150076</v>
      </c>
      <c r="AQ62" s="20">
        <f t="shared" si="77"/>
        <v>-726778794.18320298</v>
      </c>
      <c r="AR62" s="20">
        <f t="shared" si="78"/>
        <v>-663655871.77779388</v>
      </c>
      <c r="AS62" s="20">
        <f t="shared" si="79"/>
        <v>-604029767.43101072</v>
      </c>
      <c r="AT62" s="20">
        <f t="shared" si="80"/>
        <v>-548316368.30248761</v>
      </c>
      <c r="AU62" s="20">
        <f t="shared" si="81"/>
        <v>-496865096.45168757</v>
      </c>
      <c r="AV62" s="20">
        <f t="shared" si="82"/>
        <v>-449955994.4131673</v>
      </c>
      <c r="AW62" s="20">
        <f t="shared" si="83"/>
        <v>-407798645.3046</v>
      </c>
      <c r="AX62" s="20">
        <f t="shared" si="84"/>
        <v>-370532767.27507567</v>
      </c>
      <c r="AY62" s="20">
        <f t="shared" si="85"/>
        <v>-338230258.61559898</v>
      </c>
      <c r="AZ62" s="20">
        <f t="shared" si="86"/>
        <v>-310898426.98764652</v>
      </c>
      <c r="BA62" s="20">
        <f t="shared" si="87"/>
        <v>-288484115.21134919</v>
      </c>
      <c r="BB62" s="20">
        <f t="shared" si="88"/>
        <v>-270878436.21757996</v>
      </c>
      <c r="BC62" s="20">
        <f t="shared" si="89"/>
        <v>-257921848.72663453</v>
      </c>
      <c r="BD62" s="20">
        <f t="shared" si="90"/>
        <v>-249409339.23333603</v>
      </c>
      <c r="BE62" s="20">
        <f t="shared" si="91"/>
        <v>-245095520.3183957</v>
      </c>
      <c r="BF62" s="20">
        <f t="shared" si="92"/>
        <v>-244699505.1450156</v>
      </c>
      <c r="BG62" s="20">
        <f t="shared" si="93"/>
        <v>-247909468.3371079</v>
      </c>
      <c r="BH62" s="20">
        <f t="shared" si="94"/>
        <v>-254386849.95267048</v>
      </c>
      <c r="BI62" s="20">
        <f t="shared" si="95"/>
        <v>-263770198.59251806</v>
      </c>
      <c r="BJ62" s="20">
        <f t="shared" si="29"/>
        <v>-275678679.63987637</v>
      </c>
      <c r="BK62" s="20">
        <f t="shared" si="30"/>
        <v>-289715294.31888074</v>
      </c>
      <c r="BL62" s="20">
        <f t="shared" si="31"/>
        <v>-305469865.04501736</v>
      </c>
      <c r="BM62" s="20">
        <f t="shared" si="32"/>
        <v>-322521843.84679288</v>
      </c>
      <c r="BN62" s="20">
        <f t="shared" si="33"/>
        <v>-340442995.6895659</v>
      </c>
      <c r="BO62" s="20">
        <f t="shared" si="34"/>
        <v>-358800000</v>
      </c>
      <c r="BQ62" s="1"/>
      <c r="BR62" s="20">
        <v>0</v>
      </c>
      <c r="BS62" s="20">
        <f t="shared" si="10"/>
        <v>0.34159220146222585</v>
      </c>
      <c r="BT62" s="20">
        <f t="shared" si="100"/>
        <v>0.38671628039714145</v>
      </c>
      <c r="BU62" s="20">
        <f t="shared" si="100"/>
        <v>0.39358441341045358</v>
      </c>
      <c r="BV62" s="20">
        <f t="shared" si="100"/>
        <v>0.39465123071155617</v>
      </c>
      <c r="BW62" s="20">
        <f t="shared" si="100"/>
        <v>0.39481745705771343</v>
      </c>
      <c r="BX62" s="20">
        <f t="shared" si="100"/>
        <v>0.39484337025824812</v>
      </c>
      <c r="BY62" s="20">
        <f t="shared" si="100"/>
        <v>0.39484741020089803</v>
      </c>
      <c r="BZ62" s="20">
        <f t="shared" si="100"/>
        <v>0.39484804004704999</v>
      </c>
      <c r="CA62" s="20">
        <f t="shared" si="100"/>
        <v>0.3948481382432229</v>
      </c>
      <c r="CB62" s="20">
        <f t="shared" si="100"/>
        <v>0.39484815355250291</v>
      </c>
      <c r="CC62" s="20">
        <f t="shared" si="100"/>
        <v>0.39484815593929723</v>
      </c>
      <c r="CD62" s="20">
        <f t="shared" si="100"/>
        <v>0.39484815631141057</v>
      </c>
      <c r="CE62" s="20">
        <f t="shared" si="100"/>
        <v>0.39484815636942489</v>
      </c>
      <c r="CF62" s="20">
        <f t="shared" si="100"/>
        <v>0.39484815637846959</v>
      </c>
      <c r="CG62" s="20">
        <f t="shared" si="100"/>
        <v>0.39484815637987974</v>
      </c>
      <c r="CH62" s="20">
        <f t="shared" si="100"/>
        <v>0.39484815638009962</v>
      </c>
      <c r="CI62" s="20">
        <f t="shared" si="100"/>
        <v>0.39484815638013382</v>
      </c>
      <c r="CJ62" s="20">
        <f t="shared" si="100"/>
        <v>0.39484815638013915</v>
      </c>
      <c r="CK62" s="20">
        <f t="shared" si="100"/>
        <v>0.39484815638013998</v>
      </c>
      <c r="CL62" s="20">
        <f t="shared" si="100"/>
        <v>0.39484815638014015</v>
      </c>
      <c r="CM62" s="20">
        <f t="shared" si="100"/>
        <v>0.39484815638014015</v>
      </c>
      <c r="CN62" s="20">
        <f t="shared" si="100"/>
        <v>0.39484815638014015</v>
      </c>
      <c r="CO62" s="20">
        <f t="shared" si="100"/>
        <v>0.39484815638014015</v>
      </c>
      <c r="CP62" s="20">
        <f t="shared" si="100"/>
        <v>0.39484815638014015</v>
      </c>
      <c r="CQ62" s="20">
        <f t="shared" si="100"/>
        <v>0.39484815638014015</v>
      </c>
      <c r="CR62" s="20">
        <f t="shared" si="100"/>
        <v>0.39484815638014015</v>
      </c>
      <c r="CS62" s="20">
        <f t="shared" si="100"/>
        <v>0.39484815638014015</v>
      </c>
      <c r="CT62" s="20">
        <f t="shared" si="100"/>
        <v>0.39484815638014015</v>
      </c>
      <c r="CU62" s="20">
        <f t="shared" si="100"/>
        <v>0.39484815638014015</v>
      </c>
      <c r="CW62" s="1"/>
      <c r="CX62" s="20">
        <f t="shared" si="11"/>
        <v>300</v>
      </c>
      <c r="CY62" s="20">
        <f t="shared" si="12"/>
        <v>191.12220520712069</v>
      </c>
      <c r="CZ62" s="20">
        <f t="shared" si="96"/>
        <v>167.08416066015798</v>
      </c>
      <c r="DA62" s="20">
        <f t="shared" si="97"/>
        <v>153.41427937569901</v>
      </c>
      <c r="DB62" s="20">
        <f t="shared" si="98"/>
        <v>141.43415155745643</v>
      </c>
      <c r="DC62" s="20">
        <f t="shared" si="36"/>
        <v>130.01348790013122</v>
      </c>
      <c r="DD62" s="20">
        <f t="shared" si="37"/>
        <v>119.07009301423139</v>
      </c>
      <c r="DE62" s="20">
        <f t="shared" si="38"/>
        <v>108.664621088741</v>
      </c>
      <c r="DF62" s="20">
        <f t="shared" si="39"/>
        <v>98.869835062786194</v>
      </c>
      <c r="DG62" s="20">
        <f t="shared" si="40"/>
        <v>89.751039488704549</v>
      </c>
      <c r="DH62" s="20">
        <f t="shared" si="41"/>
        <v>81.362732002828182</v>
      </c>
      <c r="DI62" s="20">
        <f t="shared" si="42"/>
        <v>73.747840397647408</v>
      </c>
      <c r="DJ62" s="20">
        <f t="shared" si="43"/>
        <v>66.937577557602935</v>
      </c>
      <c r="DK62" s="20">
        <f t="shared" si="44"/>
        <v>60.951606491251844</v>
      </c>
      <c r="DL62" s="20">
        <f t="shared" si="45"/>
        <v>55.79843700890104</v>
      </c>
      <c r="DM62" s="20">
        <f t="shared" si="46"/>
        <v>51.476003720167895</v>
      </c>
      <c r="DN62" s="20">
        <f t="shared" si="47"/>
        <v>47.9723775659469</v>
      </c>
      <c r="DO62" s="20">
        <f t="shared" si="48"/>
        <v>45.266564819406206</v>
      </c>
      <c r="DP62" s="20">
        <f t="shared" si="49"/>
        <v>43.329351469462033</v>
      </c>
      <c r="DQ62" s="20">
        <f t="shared" si="50"/>
        <v>42.124156982632293</v>
      </c>
      <c r="DR62" s="20">
        <f t="shared" si="51"/>
        <v>41.607868924208489</v>
      </c>
      <c r="DS62" s="20">
        <f t="shared" si="52"/>
        <v>41.731638012331842</v>
      </c>
      <c r="DT62" s="20">
        <f t="shared" si="53"/>
        <v>42.441621121626177</v>
      </c>
      <c r="DU62" s="20">
        <f t="shared" si="54"/>
        <v>43.679666903205941</v>
      </c>
      <c r="DV62" s="20">
        <f t="shared" si="55"/>
        <v>45.383944568490755</v>
      </c>
      <c r="DW62" s="20">
        <f t="shared" si="56"/>
        <v>47.489520716122748</v>
      </c>
      <c r="DX62" s="20">
        <f t="shared" si="57"/>
        <v>49.92889179041633</v>
      </c>
      <c r="DY62" s="20">
        <f t="shared" si="58"/>
        <v>52.632480962788307</v>
      </c>
      <c r="DZ62" s="20">
        <f t="shared" si="59"/>
        <v>55.529108197572697</v>
      </c>
      <c r="EA62" s="20">
        <f t="shared" si="60"/>
        <v>58.546441380896432</v>
      </c>
    </row>
    <row r="64" spans="5:131" x14ac:dyDescent="0.25">
      <c r="E64" s="1"/>
      <c r="F64" s="15">
        <v>300</v>
      </c>
      <c r="G64" s="15">
        <f t="shared" ref="G64:AG64" si="101">CY65/(1-BS65)</f>
        <v>279.99075248592419</v>
      </c>
      <c r="H64" s="15">
        <f t="shared" si="101"/>
        <v>260.15976623117029</v>
      </c>
      <c r="I64" s="15">
        <f t="shared" si="101"/>
        <v>240.68189080487474</v>
      </c>
      <c r="J64" s="15">
        <f t="shared" si="101"/>
        <v>221.72527278962039</v>
      </c>
      <c r="K64" s="15">
        <f t="shared" si="101"/>
        <v>203.44829810209566</v>
      </c>
      <c r="L64" s="15">
        <f t="shared" si="101"/>
        <v>185.99686738580465</v>
      </c>
      <c r="M64" s="15">
        <f t="shared" si="101"/>
        <v>169.50208465650402</v>
      </c>
      <c r="N64" s="15">
        <f t="shared" si="101"/>
        <v>154.07841610714542</v>
      </c>
      <c r="O64" s="15">
        <f t="shared" si="101"/>
        <v>139.82235048648164</v>
      </c>
      <c r="P64" s="15">
        <f t="shared" si="101"/>
        <v>126.81156664573984</v>
      </c>
      <c r="Q64" s="15">
        <f t="shared" si="101"/>
        <v>115.10458953398151</v>
      </c>
      <c r="R64" s="15">
        <f t="shared" si="101"/>
        <v>104.74089473192791</v>
      </c>
      <c r="S64" s="15">
        <f t="shared" si="101"/>
        <v>95.741404816158763</v>
      </c>
      <c r="T64" s="15">
        <f t="shared" si="101"/>
        <v>88.109309271680857</v>
      </c>
      <c r="U64" s="15">
        <f t="shared" si="101"/>
        <v>81.831133667011429</v>
      </c>
      <c r="V64" s="15">
        <f t="shared" si="101"/>
        <v>76.877983235760368</v>
      </c>
      <c r="W64" s="15">
        <f t="shared" si="101"/>
        <v>73.206890301362691</v>
      </c>
      <c r="X64" s="15">
        <f t="shared" si="101"/>
        <v>70.762203217829338</v>
      </c>
      <c r="Y64" s="15">
        <f t="shared" si="101"/>
        <v>69.476965524833773</v>
      </c>
      <c r="Z64" s="15">
        <f t="shared" si="101"/>
        <v>69.274246568514741</v>
      </c>
      <c r="AA64" s="15">
        <f t="shared" si="101"/>
        <v>70.068397679613938</v>
      </c>
      <c r="AB64" s="15">
        <f t="shared" si="101"/>
        <v>71.766220025099187</v>
      </c>
      <c r="AC64" s="15">
        <f t="shared" si="101"/>
        <v>74.268040586317397</v>
      </c>
      <c r="AD64" s="15">
        <f t="shared" si="101"/>
        <v>77.468700787505597</v>
      </c>
      <c r="AE64" s="15">
        <f t="shared" si="101"/>
        <v>81.258467845358481</v>
      </c>
      <c r="AF64" s="15">
        <f t="shared" si="101"/>
        <v>85.523881987496296</v>
      </c>
      <c r="AG64" s="15">
        <f t="shared" si="101"/>
        <v>90.148553619712928</v>
      </c>
      <c r="AH64" s="15">
        <f>DZ65/(1-CT65)</f>
        <v>95.013923835586795</v>
      </c>
      <c r="AI64" s="15">
        <v>100</v>
      </c>
      <c r="AK64" s="1"/>
      <c r="AL64" s="20">
        <f>-($C$10*$C$9*F33)/$C$7</f>
        <v>-1076400000</v>
      </c>
      <c r="AM64" s="20">
        <f>-($C$10*$C$9*G33)/$C$7</f>
        <v>-1004606819.9194959</v>
      </c>
      <c r="AN64" s="20">
        <f t="shared" ref="AN64" si="102">-($C$10*$C$9*H33)/$C$7</f>
        <v>-933453241.2374388</v>
      </c>
      <c r="AO64" s="20">
        <f t="shared" ref="AO64" si="103">-($C$10*$C$9*I33)/$C$7</f>
        <v>-863566624.20789051</v>
      </c>
      <c r="AP64" s="20">
        <f t="shared" ref="AP64" si="104">-($C$10*$C$9*J33)/$C$7</f>
        <v>-795550278.76915789</v>
      </c>
      <c r="AQ64" s="20">
        <f t="shared" ref="AQ64" si="105">-($C$10*$C$9*K33)/$C$7</f>
        <v>-729972493.59031928</v>
      </c>
      <c r="AR64" s="20">
        <f t="shared" ref="AR64" si="106">-($C$10*$C$9*L33)/$C$7</f>
        <v>-667356760.18026686</v>
      </c>
      <c r="AS64" s="20">
        <f t="shared" ref="AS64" si="107">-($C$10*$C$9*M33)/$C$7</f>
        <v>-608173479.7475363</v>
      </c>
      <c r="AT64" s="20">
        <f t="shared" ref="AT64" si="108">-($C$10*$C$9*N33)/$C$7</f>
        <v>-552833356.99243784</v>
      </c>
      <c r="AU64" s="20">
        <f t="shared" ref="AU64" si="109">-($C$10*$C$9*O33)/$C$7</f>
        <v>-501682593.54549605</v>
      </c>
      <c r="AV64" s="20">
        <f t="shared" ref="AV64" si="110">-($C$10*$C$9*P33)/$C$7</f>
        <v>-454999901.12491447</v>
      </c>
      <c r="AW64" s="20">
        <f t="shared" ref="AW64" si="111">-($C$10*$C$9*Q33)/$C$7</f>
        <v>-412995267.24792558</v>
      </c>
      <c r="AX64" s="20">
        <f t="shared" ref="AX64" si="112">-($C$10*$C$9*R33)/$C$7</f>
        <v>-375810330.29815727</v>
      </c>
      <c r="AY64" s="20">
        <f t="shared" ref="AY64" si="113">-($C$10*$C$9*S33)/$C$7</f>
        <v>-343520160.48037761</v>
      </c>
      <c r="AZ64" s="20">
        <f t="shared" ref="AZ64" si="114">-($C$10*$C$9*T33)/$C$7</f>
        <v>-316136201.66679084</v>
      </c>
      <c r="BA64" s="20">
        <f t="shared" ref="BA64" si="115">-($C$10*$C$9*U33)/$C$7</f>
        <v>-293610107.59723693</v>
      </c>
      <c r="BB64" s="20">
        <f t="shared" ref="BB64" si="116">-($C$10*$C$9*V33)/$C$7</f>
        <v>-275838203.84990817</v>
      </c>
      <c r="BC64" s="20">
        <f t="shared" ref="BC64" si="117">-($C$10*$C$9*W33)/$C$7</f>
        <v>-262666322.40128928</v>
      </c>
      <c r="BD64" s="20">
        <f t="shared" ref="BD64" si="118">-($C$10*$C$9*X33)/$C$7</f>
        <v>-253894785.14557162</v>
      </c>
      <c r="BE64" s="20">
        <f t="shared" ref="BE64" si="119">-($C$10*$C$9*Y33)/$C$7</f>
        <v>-249283352.30310357</v>
      </c>
      <c r="BF64" s="20">
        <f t="shared" ref="BF64" si="120">-($C$10*$C$9*Z33)/$C$7</f>
        <v>-248555996.68783084</v>
      </c>
      <c r="BG64" s="20">
        <f t="shared" ref="BG64" si="121">-($C$10*$C$9*AA33)/$C$7</f>
        <v>-251405410.87445477</v>
      </c>
      <c r="BH64" s="20">
        <f t="shared" ref="BH64" si="122">-($C$10*$C$9*AB33)/$C$7</f>
        <v>-257497197.45005584</v>
      </c>
      <c r="BI64" s="20">
        <f t="shared" ref="BI64" si="123">-($C$10*$C$9*AC33)/$C$7</f>
        <v>-266473729.62370676</v>
      </c>
      <c r="BJ64" s="20">
        <f t="shared" ref="BJ64" si="124">-($C$10*$C$9*AD33)/$C$7</f>
        <v>-277957698.42557001</v>
      </c>
      <c r="BK64" s="20">
        <f t="shared" ref="BK64" si="125">-($C$10*$C$9*AE33)/$C$7</f>
        <v>-291555382.62914616</v>
      </c>
      <c r="BL64" s="20">
        <f t="shared" ref="BL64" si="126">-($C$10*$C$9*AF33)/$C$7</f>
        <v>-306859688.57113665</v>
      </c>
      <c r="BM64" s="20">
        <f t="shared" ref="BM64" si="127">-($C$10*$C$9*AG33)/$C$7</f>
        <v>-323453010.38752991</v>
      </c>
      <c r="BN64" s="20">
        <f t="shared" ref="BN64" si="128">-($C$10*$C$9*AH33)/$C$7</f>
        <v>-340909958.72208536</v>
      </c>
      <c r="BO64" s="20">
        <f t="shared" ref="BO64" si="129">-($C$10*$C$9*AI33)/$C$7</f>
        <v>-358800000</v>
      </c>
      <c r="BQ64" s="1"/>
      <c r="BR64" s="20">
        <f>$C$20/($C$21-($C$22*BR65))</f>
        <v>0.3948481563801402</v>
      </c>
      <c r="BS64" s="20">
        <f t="shared" ref="BS64:CU72" si="130">$C$20/($C$21-($C$22*BS65))</f>
        <v>0.3948481563801402</v>
      </c>
      <c r="BT64" s="20">
        <f t="shared" si="130"/>
        <v>0.3948481563801402</v>
      </c>
      <c r="BU64" s="20">
        <f t="shared" si="130"/>
        <v>0.3948481563801402</v>
      </c>
      <c r="BV64" s="20">
        <f t="shared" si="130"/>
        <v>0.3948481563801402</v>
      </c>
      <c r="BW64" s="20">
        <f t="shared" si="130"/>
        <v>0.3948481563801402</v>
      </c>
      <c r="BX64" s="20">
        <f t="shared" si="130"/>
        <v>0.3948481563801402</v>
      </c>
      <c r="BY64" s="20">
        <f t="shared" si="130"/>
        <v>0.3948481563801402</v>
      </c>
      <c r="BZ64" s="20">
        <f t="shared" si="130"/>
        <v>0.3948481563801402</v>
      </c>
      <c r="CA64" s="20">
        <f t="shared" si="130"/>
        <v>0.3948481563801402</v>
      </c>
      <c r="CB64" s="20">
        <f t="shared" si="130"/>
        <v>0.3948481563801402</v>
      </c>
      <c r="CC64" s="20">
        <f t="shared" si="130"/>
        <v>0.3948481563801402</v>
      </c>
      <c r="CD64" s="20">
        <f t="shared" si="130"/>
        <v>0.3948481563801402</v>
      </c>
      <c r="CE64" s="20">
        <f t="shared" si="130"/>
        <v>0.3948481563801402</v>
      </c>
      <c r="CF64" s="20">
        <f t="shared" si="130"/>
        <v>0.3948481563801402</v>
      </c>
      <c r="CG64" s="20">
        <f t="shared" si="130"/>
        <v>0.3948481563801402</v>
      </c>
      <c r="CH64" s="20">
        <f t="shared" si="130"/>
        <v>0.3948481563801402</v>
      </c>
      <c r="CI64" s="20">
        <f t="shared" si="130"/>
        <v>0.3948481563801402</v>
      </c>
      <c r="CJ64" s="20">
        <f t="shared" si="130"/>
        <v>0.3948481563801402</v>
      </c>
      <c r="CK64" s="20">
        <f t="shared" si="130"/>
        <v>0.3948481563801402</v>
      </c>
      <c r="CL64" s="20">
        <f t="shared" si="130"/>
        <v>0.3948481563801402</v>
      </c>
      <c r="CM64" s="20">
        <f t="shared" si="130"/>
        <v>0.3948481563801402</v>
      </c>
      <c r="CN64" s="20">
        <f t="shared" si="130"/>
        <v>0.3948481563801402</v>
      </c>
      <c r="CO64" s="20">
        <f t="shared" si="130"/>
        <v>0.3948481563801402</v>
      </c>
      <c r="CP64" s="20">
        <f t="shared" si="130"/>
        <v>0.3948481563801402</v>
      </c>
      <c r="CQ64" s="20">
        <f t="shared" si="130"/>
        <v>0.3948481563801402</v>
      </c>
      <c r="CR64" s="20">
        <f t="shared" si="130"/>
        <v>0.3948481563801402</v>
      </c>
      <c r="CS64" s="20">
        <f t="shared" si="130"/>
        <v>0.3948481563801402</v>
      </c>
      <c r="CT64" s="20">
        <f t="shared" si="130"/>
        <v>0.3948481563801402</v>
      </c>
      <c r="CU64" s="20">
        <f t="shared" si="130"/>
        <v>0.3948481563801402</v>
      </c>
      <c r="CW64" s="1"/>
      <c r="CX64" s="20">
        <f t="shared" ref="CX64:CX91" si="131">(CX65*$C$22-AL64)/($C$21-$C$22*BR65)</f>
        <v>181.54555308595795</v>
      </c>
      <c r="CY64" s="20">
        <f t="shared" ref="CY64:CY92" si="132">(CY65*$C$22-AM64)/($C$21-$C$22*BS65)</f>
        <v>169.43692006336886</v>
      </c>
      <c r="CZ64" s="20">
        <f t="shared" ref="CZ64:CZ92" si="133">(CZ65*$C$22-AN64)/($C$21-$C$22*BT65)</f>
        <v>157.43616217050445</v>
      </c>
      <c r="DA64" s="20">
        <f t="shared" ref="DA64:DA92" si="134">(DA65*$C$22-AO64)/($C$21-$C$22*BU65)</f>
        <v>145.64908994648371</v>
      </c>
      <c r="DB64" s="20">
        <f t="shared" ref="DB64:DB92" si="135">(DB65*$C$22-AP64)/($C$21-$C$22*BV65)</f>
        <v>134.17745760575511</v>
      </c>
      <c r="DC64" s="20">
        <f t="shared" ref="DC64:DC92" si="136">(DC65*$C$22-AQ64)/($C$21-$C$22*BW65)</f>
        <v>123.11711267780603</v>
      </c>
      <c r="DD64" s="20">
        <f t="shared" ref="DD64:DD92" si="137">(DD65*$C$22-AR64)/($C$21-$C$22*BX65)</f>
        <v>112.55634720603824</v>
      </c>
      <c r="DE64" s="20">
        <f t="shared" ref="DE64:DE92" si="138">(DE65*$C$22-AS64)/($C$21-$C$22*BY65)</f>
        <v>102.57449902729296</v>
      </c>
      <c r="DF64" s="20">
        <f t="shared" ref="DF64:DF92" si="139">(DF65*$C$22-AT64)/($C$21-$C$22*BZ65)</f>
        <v>93.240837569266972</v>
      </c>
      <c r="DG64" s="20">
        <f t="shared" ref="DG64:DG92" si="140">(DG65*$C$22-AU64)/($C$21-$C$22*CA65)</f>
        <v>84.613753176156564</v>
      </c>
      <c r="DH64" s="20">
        <f t="shared" ref="DH64:DH92" si="141">(DH65*$C$22-AV64)/($C$21-$C$22*CB65)</f>
        <v>76.740253347992194</v>
      </c>
      <c r="DI64" s="20">
        <f t="shared" ref="DI64:DI92" si="142">(DI65*$C$22-AW64)/($C$21-$C$22*CC65)</f>
        <v>69.655754565596126</v>
      </c>
      <c r="DJ64" s="20">
        <f t="shared" ref="DJ64:DJ92" si="143">(DJ65*$C$22-AX64)/($C$21-$C$22*CD65)</f>
        <v>63.384145549419827</v>
      </c>
      <c r="DK64" s="20">
        <f t="shared" ref="DK64:DK92" si="144">(DK65*$C$22-AY64)/($C$21-$C$22*CE65)</f>
        <v>57.938087635253794</v>
      </c>
      <c r="DL64" s="20">
        <f t="shared" ref="DL64:DL92" si="145">(DL65*$C$22-AZ64)/($C$21-$C$22*CF65)</f>
        <v>53.319510945830075</v>
      </c>
      <c r="DM64" s="20">
        <f t="shared" ref="DM64:DM92" si="146">(DM65*$C$22-BA64)/($C$21-$C$22*CG65)</f>
        <v>49.520261404095137</v>
      </c>
      <c r="DN64" s="20">
        <f t="shared" ref="DN64:DN92" si="147">(DN65*$C$22-BB64)/($C$21-$C$22*CH65)</f>
        <v>46.522853288897061</v>
      </c>
      <c r="DO64" s="20">
        <f t="shared" ref="DO64:DO92" si="148">(DO65*$C$22-BC64)/($C$21-$C$22*CI65)</f>
        <v>44.301284631546466</v>
      </c>
      <c r="DP64" s="20">
        <f t="shared" ref="DP64:DP92" si="149">(DP65*$C$22-BD64)/($C$21-$C$22*CJ65)</f>
        <v>42.821877735872597</v>
      </c>
      <c r="DQ64" s="20">
        <f t="shared" ref="DQ64:DQ92" si="150">(DQ65*$C$22-BE64)/($C$21-$C$22*CK65)</f>
        <v>42.044113776466602</v>
      </c>
      <c r="DR64" s="20">
        <f t="shared" ref="DR64:DR92" si="151">(DR65*$C$22-BF64)/($C$21-$C$22*CL65)</f>
        <v>41.921438026313439</v>
      </c>
      <c r="DS64" s="20">
        <f t="shared" ref="DS64:DS92" si="152">(DS65*$C$22-BG64)/($C$21-$C$22*CM65)</f>
        <v>42.402020035307878</v>
      </c>
      <c r="DT64" s="20">
        <f t="shared" ref="DT64:DT92" si="153">(DT65*$C$22-BH64)/($C$21-$C$22*CN65)</f>
        <v>43.429460357817277</v>
      </c>
      <c r="DU64" s="20">
        <f t="shared" ref="DU64:DU92" si="154">(DU65*$C$22-BI64)/($C$21-$C$22*CO65)</f>
        <v>44.943441682844544</v>
      </c>
      <c r="DV64" s="20">
        <f t="shared" ref="DV64:DV92" si="155">(DV65*$C$22-BJ64)/($C$21-$C$22*CP65)</f>
        <v>46.88032710439429</v>
      </c>
      <c r="DW64" s="20">
        <f t="shared" ref="DW64:DW92" si="156">(DW65*$C$22-BK64)/($C$21-$C$22*CQ65)</f>
        <v>49.173711626343774</v>
      </c>
      <c r="DX64" s="20">
        <f t="shared" ref="DX64:DX92" si="157">(DX65*$C$22-BL64)/($C$21-$C$22*CR65)</f>
        <v>51.754934858260697</v>
      </c>
      <c r="DY64" s="20">
        <f t="shared" ref="DY64:DY92" si="158">(DY65*$C$22-BM64)/($C$21-$C$22*CS65)</f>
        <v>54.553563422633061</v>
      </c>
      <c r="DZ64" s="20">
        <f t="shared" ref="DZ64:DZ92" si="159">(DZ65*$C$22-BN64)/($C$21-$C$22*CT65)</f>
        <v>57.49785117866228</v>
      </c>
      <c r="EA64" s="20">
        <f t="shared" ref="EA64:EA92" si="160">(EA65*$C$22-BO64)/($C$21-$C$22*CU65)</f>
        <v>60.515184361985995</v>
      </c>
    </row>
    <row r="65" spans="5:131" x14ac:dyDescent="0.25">
      <c r="E65" s="1"/>
      <c r="F65" s="15">
        <v>300</v>
      </c>
      <c r="G65" s="16">
        <f t="shared" ref="G65" si="161">BS65*G64+CY65</f>
        <v>279.99075248592419</v>
      </c>
      <c r="H65" s="16">
        <f t="shared" ref="H65" si="162">BT65*H64+CZ65</f>
        <v>260.15976623117029</v>
      </c>
      <c r="I65" s="16">
        <f t="shared" ref="I65" si="163">BU65*I64+DA65</f>
        <v>240.68189080487474</v>
      </c>
      <c r="J65" s="16">
        <f t="shared" ref="J65" si="164">BV65*J64+DB65</f>
        <v>221.72527278962039</v>
      </c>
      <c r="K65" s="16">
        <f t="shared" ref="K65" si="165">BW65*K64+DC65</f>
        <v>203.44829810209563</v>
      </c>
      <c r="L65" s="16">
        <f t="shared" ref="L65" si="166">BX65*L64+DD65</f>
        <v>185.99686738580465</v>
      </c>
      <c r="M65" s="16">
        <f t="shared" ref="M65" si="167">BY65*M64+DE65</f>
        <v>169.50208465650402</v>
      </c>
      <c r="N65" s="16">
        <f t="shared" ref="N65" si="168">BZ65*N64+DF65</f>
        <v>154.07841610714542</v>
      </c>
      <c r="O65" s="16">
        <f t="shared" ref="O65" si="169">CA65*O64+DG65</f>
        <v>139.82235048648164</v>
      </c>
      <c r="P65" s="16">
        <f t="shared" ref="P65" si="170">CB65*P64+DH65</f>
        <v>126.81156664573984</v>
      </c>
      <c r="Q65" s="16">
        <f t="shared" ref="Q65" si="171">CC65*Q64+DI65</f>
        <v>115.10458953398151</v>
      </c>
      <c r="R65" s="16">
        <f t="shared" ref="R65" si="172">CD65*R64+DJ65</f>
        <v>104.74089473192791</v>
      </c>
      <c r="S65" s="16">
        <f t="shared" ref="S65" si="173">CE65*S64+DK65</f>
        <v>95.741404816158763</v>
      </c>
      <c r="T65" s="16">
        <f t="shared" ref="T65" si="174">CF65*T64+DL65</f>
        <v>88.109309271680857</v>
      </c>
      <c r="U65" s="16">
        <f t="shared" ref="U65" si="175">CG65*U64+DM65</f>
        <v>81.831133667011414</v>
      </c>
      <c r="V65" s="16">
        <f t="shared" ref="V65" si="176">CH65*V64+DN65</f>
        <v>76.877983235760368</v>
      </c>
      <c r="W65" s="16">
        <f t="shared" ref="W65" si="177">CI65*W64+DO65</f>
        <v>73.206890301362691</v>
      </c>
      <c r="X65" s="16">
        <f t="shared" ref="X65" si="178">CJ65*X64+DP65</f>
        <v>70.762203217829338</v>
      </c>
      <c r="Y65" s="16">
        <f t="shared" ref="Y65" si="179">CK65*Y64+DQ65</f>
        <v>69.476965524833773</v>
      </c>
      <c r="Z65" s="16">
        <f t="shared" ref="Z65" si="180">CL65*Z64+DR65</f>
        <v>69.274246568514741</v>
      </c>
      <c r="AA65" s="16">
        <f t="shared" ref="AA65" si="181">CM65*AA64+DS65</f>
        <v>70.068397679613938</v>
      </c>
      <c r="AB65" s="16">
        <f t="shared" ref="AB65" si="182">CN65*AB64+DT65</f>
        <v>71.766220025099187</v>
      </c>
      <c r="AC65" s="16">
        <f t="shared" ref="AC65" si="183">CO65*AC64+DU65</f>
        <v>74.268040586317397</v>
      </c>
      <c r="AD65" s="16">
        <f t="shared" ref="AD65" si="184">CP65*AD64+DV65</f>
        <v>77.468700787505583</v>
      </c>
      <c r="AE65" s="16">
        <f t="shared" ref="AE65" si="185">CQ65*AE64+DW65</f>
        <v>81.258467845358467</v>
      </c>
      <c r="AF65" s="16">
        <f t="shared" ref="AF65" si="186">CR65*AF64+DX65</f>
        <v>85.523881987496281</v>
      </c>
      <c r="AG65" s="16">
        <f t="shared" ref="AG65" si="187">CS65*AG64+DY65</f>
        <v>90.148553619712928</v>
      </c>
      <c r="AH65" s="16">
        <f t="shared" ref="AH65" si="188">CT65*AH64+DZ65</f>
        <v>95.01392383558678</v>
      </c>
      <c r="AI65" s="15">
        <v>100</v>
      </c>
      <c r="AK65" s="1"/>
      <c r="AL65" s="20">
        <f>-($C$10*$C$9*F34)/$C$7</f>
        <v>-1076400000</v>
      </c>
      <c r="AM65" s="17">
        <f t="shared" ref="AM65:BO73" si="189">-($C$10*$C$9*G34)/$C$7</f>
        <v>-1004606819.9194959</v>
      </c>
      <c r="AN65" s="17">
        <f t="shared" si="189"/>
        <v>-933453241.2374388</v>
      </c>
      <c r="AO65" s="17">
        <f t="shared" si="189"/>
        <v>-863566624.20789051</v>
      </c>
      <c r="AP65" s="17">
        <f t="shared" si="189"/>
        <v>-795550278.76915789</v>
      </c>
      <c r="AQ65" s="17">
        <f t="shared" si="189"/>
        <v>-729972493.59031916</v>
      </c>
      <c r="AR65" s="17">
        <f t="shared" si="189"/>
        <v>-667356760.18026686</v>
      </c>
      <c r="AS65" s="17">
        <f t="shared" si="189"/>
        <v>-608173479.7475363</v>
      </c>
      <c r="AT65" s="17">
        <f t="shared" si="189"/>
        <v>-552833356.99243772</v>
      </c>
      <c r="AU65" s="17">
        <f t="shared" si="189"/>
        <v>-501682593.54549605</v>
      </c>
      <c r="AV65" s="17">
        <f t="shared" si="189"/>
        <v>-454999901.12491447</v>
      </c>
      <c r="AW65" s="17">
        <f t="shared" si="189"/>
        <v>-412995267.24792558</v>
      </c>
      <c r="AX65" s="17">
        <f t="shared" si="189"/>
        <v>-375810330.29815727</v>
      </c>
      <c r="AY65" s="17">
        <f t="shared" si="189"/>
        <v>-343520160.48037761</v>
      </c>
      <c r="AZ65" s="17">
        <f t="shared" si="189"/>
        <v>-316136201.66679084</v>
      </c>
      <c r="BA65" s="17">
        <f t="shared" si="189"/>
        <v>-293610107.59723693</v>
      </c>
      <c r="BB65" s="17">
        <f t="shared" si="189"/>
        <v>-275838203.84990817</v>
      </c>
      <c r="BC65" s="17">
        <f t="shared" si="189"/>
        <v>-262666322.40128928</v>
      </c>
      <c r="BD65" s="17">
        <f t="shared" si="189"/>
        <v>-253894785.14557162</v>
      </c>
      <c r="BE65" s="17">
        <f t="shared" si="189"/>
        <v>-249283352.30310357</v>
      </c>
      <c r="BF65" s="17">
        <f t="shared" si="189"/>
        <v>-248555996.68783084</v>
      </c>
      <c r="BG65" s="17">
        <f t="shared" si="189"/>
        <v>-251405410.87445477</v>
      </c>
      <c r="BH65" s="17">
        <f t="shared" si="189"/>
        <v>-257497197.45005584</v>
      </c>
      <c r="BI65" s="17">
        <f t="shared" si="189"/>
        <v>-266473729.62370676</v>
      </c>
      <c r="BJ65" s="17">
        <f t="shared" si="189"/>
        <v>-277957698.42557001</v>
      </c>
      <c r="BK65" s="17">
        <f t="shared" si="189"/>
        <v>-291555382.62914616</v>
      </c>
      <c r="BL65" s="17">
        <f t="shared" si="189"/>
        <v>-306859688.57113665</v>
      </c>
      <c r="BM65" s="17">
        <f t="shared" si="189"/>
        <v>-323453010.38752991</v>
      </c>
      <c r="BN65" s="17">
        <f t="shared" si="189"/>
        <v>-340909958.72208536</v>
      </c>
      <c r="BO65" s="20">
        <f t="shared" si="189"/>
        <v>-358800000</v>
      </c>
      <c r="BQ65" s="1"/>
      <c r="BR65" s="20">
        <f t="shared" ref="BR65:BR92" si="190">$C$20/($C$21-($C$22*BR66))</f>
        <v>0.3948481563801402</v>
      </c>
      <c r="BS65" s="17">
        <f t="shared" si="130"/>
        <v>0.3948481563801402</v>
      </c>
      <c r="BT65" s="17">
        <f t="shared" si="130"/>
        <v>0.3948481563801402</v>
      </c>
      <c r="BU65" s="17">
        <f t="shared" si="130"/>
        <v>0.3948481563801402</v>
      </c>
      <c r="BV65" s="17">
        <f t="shared" si="130"/>
        <v>0.3948481563801402</v>
      </c>
      <c r="BW65" s="17">
        <f t="shared" si="130"/>
        <v>0.3948481563801402</v>
      </c>
      <c r="BX65" s="17">
        <f t="shared" si="130"/>
        <v>0.3948481563801402</v>
      </c>
      <c r="BY65" s="17">
        <f t="shared" si="130"/>
        <v>0.3948481563801402</v>
      </c>
      <c r="BZ65" s="17">
        <f t="shared" si="130"/>
        <v>0.3948481563801402</v>
      </c>
      <c r="CA65" s="17">
        <f t="shared" si="130"/>
        <v>0.3948481563801402</v>
      </c>
      <c r="CB65" s="17">
        <f t="shared" si="130"/>
        <v>0.3948481563801402</v>
      </c>
      <c r="CC65" s="17">
        <f t="shared" si="130"/>
        <v>0.3948481563801402</v>
      </c>
      <c r="CD65" s="17">
        <f t="shared" si="130"/>
        <v>0.3948481563801402</v>
      </c>
      <c r="CE65" s="17">
        <f t="shared" si="130"/>
        <v>0.3948481563801402</v>
      </c>
      <c r="CF65" s="17">
        <f t="shared" si="130"/>
        <v>0.3948481563801402</v>
      </c>
      <c r="CG65" s="17">
        <f t="shared" si="130"/>
        <v>0.3948481563801402</v>
      </c>
      <c r="CH65" s="17">
        <f t="shared" si="130"/>
        <v>0.3948481563801402</v>
      </c>
      <c r="CI65" s="17">
        <f t="shared" si="130"/>
        <v>0.3948481563801402</v>
      </c>
      <c r="CJ65" s="17">
        <f t="shared" si="130"/>
        <v>0.3948481563801402</v>
      </c>
      <c r="CK65" s="17">
        <f t="shared" si="130"/>
        <v>0.3948481563801402</v>
      </c>
      <c r="CL65" s="17">
        <f t="shared" si="130"/>
        <v>0.3948481563801402</v>
      </c>
      <c r="CM65" s="17">
        <f t="shared" si="130"/>
        <v>0.3948481563801402</v>
      </c>
      <c r="CN65" s="17">
        <f t="shared" si="130"/>
        <v>0.3948481563801402</v>
      </c>
      <c r="CO65" s="17">
        <f t="shared" si="130"/>
        <v>0.3948481563801402</v>
      </c>
      <c r="CP65" s="17">
        <f t="shared" si="130"/>
        <v>0.3948481563801402</v>
      </c>
      <c r="CQ65" s="17">
        <f t="shared" si="130"/>
        <v>0.3948481563801402</v>
      </c>
      <c r="CR65" s="17">
        <f t="shared" si="130"/>
        <v>0.3948481563801402</v>
      </c>
      <c r="CS65" s="17">
        <f t="shared" si="130"/>
        <v>0.3948481563801402</v>
      </c>
      <c r="CT65" s="17">
        <f t="shared" si="130"/>
        <v>0.3948481563801402</v>
      </c>
      <c r="CU65" s="20">
        <f t="shared" si="130"/>
        <v>0.3948481563801402</v>
      </c>
      <c r="CW65" s="1"/>
      <c r="CX65" s="20">
        <f t="shared" si="131"/>
        <v>181.54555308595795</v>
      </c>
      <c r="CY65" s="17">
        <f t="shared" si="132"/>
        <v>169.43692006336886</v>
      </c>
      <c r="CZ65" s="17">
        <f t="shared" si="133"/>
        <v>157.43616217050445</v>
      </c>
      <c r="DA65" s="17">
        <f t="shared" si="134"/>
        <v>145.64908994648371</v>
      </c>
      <c r="DB65" s="17">
        <f t="shared" si="135"/>
        <v>134.17745760575511</v>
      </c>
      <c r="DC65" s="17">
        <f t="shared" si="136"/>
        <v>123.11711267780601</v>
      </c>
      <c r="DD65" s="17">
        <f t="shared" si="137"/>
        <v>112.55634720603824</v>
      </c>
      <c r="DE65" s="17">
        <f t="shared" si="138"/>
        <v>102.57449902729296</v>
      </c>
      <c r="DF65" s="17">
        <f t="shared" si="139"/>
        <v>93.240837569266944</v>
      </c>
      <c r="DG65" s="17">
        <f t="shared" si="140"/>
        <v>84.613753176156564</v>
      </c>
      <c r="DH65" s="17">
        <f t="shared" si="141"/>
        <v>76.74025334799218</v>
      </c>
      <c r="DI65" s="17">
        <f t="shared" si="142"/>
        <v>69.655754565596126</v>
      </c>
      <c r="DJ65" s="17">
        <f t="shared" si="143"/>
        <v>63.384145549419827</v>
      </c>
      <c r="DK65" s="17">
        <f t="shared" si="144"/>
        <v>57.938087635253794</v>
      </c>
      <c r="DL65" s="17">
        <f t="shared" si="145"/>
        <v>53.319510945830075</v>
      </c>
      <c r="DM65" s="17">
        <f t="shared" si="146"/>
        <v>49.520261404095137</v>
      </c>
      <c r="DN65" s="17">
        <f t="shared" si="147"/>
        <v>46.522853288897061</v>
      </c>
      <c r="DO65" s="17">
        <f t="shared" si="148"/>
        <v>44.301284631546466</v>
      </c>
      <c r="DP65" s="17">
        <f t="shared" si="149"/>
        <v>42.821877735872597</v>
      </c>
      <c r="DQ65" s="17">
        <f t="shared" si="150"/>
        <v>42.044113776466595</v>
      </c>
      <c r="DR65" s="17">
        <f t="shared" si="151"/>
        <v>41.921438026313439</v>
      </c>
      <c r="DS65" s="17">
        <f t="shared" si="152"/>
        <v>42.402020035307878</v>
      </c>
      <c r="DT65" s="17">
        <f t="shared" si="153"/>
        <v>43.42946035781727</v>
      </c>
      <c r="DU65" s="17">
        <f t="shared" si="154"/>
        <v>44.943441682844544</v>
      </c>
      <c r="DV65" s="17">
        <f t="shared" si="155"/>
        <v>46.88032710439429</v>
      </c>
      <c r="DW65" s="17">
        <f t="shared" si="156"/>
        <v>49.173711626343774</v>
      </c>
      <c r="DX65" s="17">
        <f t="shared" si="157"/>
        <v>51.754934858260697</v>
      </c>
      <c r="DY65" s="17">
        <f t="shared" si="158"/>
        <v>54.553563422633061</v>
      </c>
      <c r="DZ65" s="17">
        <f t="shared" si="159"/>
        <v>57.49785117866228</v>
      </c>
      <c r="EA65" s="20">
        <f t="shared" si="160"/>
        <v>60.515184361985995</v>
      </c>
    </row>
    <row r="66" spans="5:131" x14ac:dyDescent="0.25">
      <c r="E66" s="1"/>
      <c r="F66" s="15">
        <v>300</v>
      </c>
      <c r="G66" s="16">
        <f t="shared" ref="G66:G92" si="191">BS66*G65+CY66</f>
        <v>279.99075248592419</v>
      </c>
      <c r="H66" s="16">
        <f t="shared" ref="H66:H92" si="192">BT66*H65+CZ66</f>
        <v>260.15976623117029</v>
      </c>
      <c r="I66" s="16">
        <f t="shared" ref="I66:I92" si="193">BU66*I65+DA66</f>
        <v>240.68189080487474</v>
      </c>
      <c r="J66" s="16">
        <f t="shared" ref="J66:J92" si="194">BV66*J65+DB66</f>
        <v>221.72527278962039</v>
      </c>
      <c r="K66" s="16">
        <f t="shared" ref="K66:K92" si="195">BW66*K65+DC66</f>
        <v>203.44829810209563</v>
      </c>
      <c r="L66" s="16">
        <f t="shared" ref="L66:L92" si="196">BX66*L65+DD66</f>
        <v>185.99686738580465</v>
      </c>
      <c r="M66" s="16">
        <f t="shared" ref="M66:M92" si="197">BY66*M65+DE66</f>
        <v>169.502084656504</v>
      </c>
      <c r="N66" s="16">
        <f t="shared" ref="N66:N92" si="198">BZ66*N65+DF66</f>
        <v>154.07841610714542</v>
      </c>
      <c r="O66" s="16">
        <f t="shared" ref="O66:O92" si="199">CA66*O65+DG66</f>
        <v>139.82235048648164</v>
      </c>
      <c r="P66" s="16">
        <f t="shared" ref="P66:P92" si="200">CB66*P65+DH66</f>
        <v>126.81156664573982</v>
      </c>
      <c r="Q66" s="16">
        <f t="shared" ref="Q66:Q92" si="201">CC66*Q65+DI66</f>
        <v>115.10458953398151</v>
      </c>
      <c r="R66" s="16">
        <f t="shared" ref="R66:R92" si="202">CD66*R65+DJ66</f>
        <v>104.74089473192791</v>
      </c>
      <c r="S66" s="16">
        <f t="shared" ref="S66:S92" si="203">CE66*S65+DK66</f>
        <v>95.741404816158763</v>
      </c>
      <c r="T66" s="16">
        <f t="shared" ref="T66:T92" si="204">CF66*T65+DL66</f>
        <v>88.109309271680843</v>
      </c>
      <c r="U66" s="16">
        <f t="shared" ref="U66:U92" si="205">CG66*U65+DM66</f>
        <v>81.831133667011414</v>
      </c>
      <c r="V66" s="16">
        <f t="shared" ref="V66:V92" si="206">CH66*V65+DN66</f>
        <v>76.877983235760368</v>
      </c>
      <c r="W66" s="16">
        <f t="shared" ref="W66:W92" si="207">CI66*W65+DO66</f>
        <v>73.206890301362677</v>
      </c>
      <c r="X66" s="16">
        <f t="shared" ref="X66:X92" si="208">CJ66*X65+DP66</f>
        <v>70.762203217829324</v>
      </c>
      <c r="Y66" s="16">
        <f t="shared" ref="Y66:Y92" si="209">CK66*Y65+DQ66</f>
        <v>69.476965524833759</v>
      </c>
      <c r="Z66" s="16">
        <f t="shared" ref="Z66:Z92" si="210">CL66*Z65+DR66</f>
        <v>69.274246568514727</v>
      </c>
      <c r="AA66" s="16">
        <f t="shared" ref="AA66:AA92" si="211">CM66*AA65+DS66</f>
        <v>70.068397679613923</v>
      </c>
      <c r="AB66" s="16">
        <f t="shared" ref="AB66:AB92" si="212">CN66*AB65+DT66</f>
        <v>71.766220025099173</v>
      </c>
      <c r="AC66" s="16">
        <f t="shared" ref="AC66:AC92" si="213">CO66*AC65+DU66</f>
        <v>74.268040586317397</v>
      </c>
      <c r="AD66" s="16">
        <f t="shared" ref="AD66:AD92" si="214">CP66*AD65+DV66</f>
        <v>77.468700787505583</v>
      </c>
      <c r="AE66" s="16">
        <f t="shared" ref="AE66:AE92" si="215">CQ66*AE65+DW66</f>
        <v>81.258467845358467</v>
      </c>
      <c r="AF66" s="16">
        <f t="shared" ref="AF66:AF92" si="216">CR66*AF65+DX66</f>
        <v>85.523881987496281</v>
      </c>
      <c r="AG66" s="16">
        <f t="shared" ref="AG66:AG92" si="217">CS66*AG65+DY66</f>
        <v>90.148553619712928</v>
      </c>
      <c r="AH66" s="16">
        <f t="shared" ref="AH66:AH92" si="218">CT66*AH65+DZ66</f>
        <v>95.01392383558678</v>
      </c>
      <c r="AI66" s="15">
        <v>100</v>
      </c>
      <c r="AK66" s="1"/>
      <c r="AL66" s="20">
        <f t="shared" ref="AL66:AL93" si="219">-($C$10*$C$9*F35)/$C$7</f>
        <v>-1076400000</v>
      </c>
      <c r="AM66" s="17">
        <f t="shared" si="189"/>
        <v>-1004606819.9194959</v>
      </c>
      <c r="AN66" s="17">
        <f t="shared" si="189"/>
        <v>-933453241.2374388</v>
      </c>
      <c r="AO66" s="17">
        <f t="shared" si="189"/>
        <v>-863566624.20789051</v>
      </c>
      <c r="AP66" s="17">
        <f t="shared" si="189"/>
        <v>-795550278.76915789</v>
      </c>
      <c r="AQ66" s="17">
        <f t="shared" si="189"/>
        <v>-729972493.59031916</v>
      </c>
      <c r="AR66" s="17">
        <f t="shared" si="189"/>
        <v>-667356760.18026686</v>
      </c>
      <c r="AS66" s="17">
        <f t="shared" si="189"/>
        <v>-608173479.74753618</v>
      </c>
      <c r="AT66" s="17">
        <f t="shared" si="189"/>
        <v>-552833356.99243772</v>
      </c>
      <c r="AU66" s="17">
        <f t="shared" si="189"/>
        <v>-501682593.54549593</v>
      </c>
      <c r="AV66" s="17">
        <f t="shared" si="189"/>
        <v>-454999901.12491447</v>
      </c>
      <c r="AW66" s="17">
        <f t="shared" si="189"/>
        <v>-412995267.24792552</v>
      </c>
      <c r="AX66" s="17">
        <f t="shared" si="189"/>
        <v>-375810330.29815722</v>
      </c>
      <c r="AY66" s="17">
        <f t="shared" si="189"/>
        <v>-343520160.48037761</v>
      </c>
      <c r="AZ66" s="17">
        <f t="shared" si="189"/>
        <v>-316136201.66679084</v>
      </c>
      <c r="BA66" s="17">
        <f t="shared" si="189"/>
        <v>-293610107.59723693</v>
      </c>
      <c r="BB66" s="17">
        <f t="shared" si="189"/>
        <v>-275838203.84990817</v>
      </c>
      <c r="BC66" s="17">
        <f t="shared" si="189"/>
        <v>-262666322.40128928</v>
      </c>
      <c r="BD66" s="17">
        <f t="shared" si="189"/>
        <v>-253894785.14557162</v>
      </c>
      <c r="BE66" s="17">
        <f t="shared" si="189"/>
        <v>-249283352.30310348</v>
      </c>
      <c r="BF66" s="17">
        <f t="shared" si="189"/>
        <v>-248555996.68783075</v>
      </c>
      <c r="BG66" s="17">
        <f t="shared" si="189"/>
        <v>-251405410.87445471</v>
      </c>
      <c r="BH66" s="17">
        <f t="shared" si="189"/>
        <v>-257497197.45005578</v>
      </c>
      <c r="BI66" s="17">
        <f t="shared" si="189"/>
        <v>-266473729.62370676</v>
      </c>
      <c r="BJ66" s="17">
        <f t="shared" si="189"/>
        <v>-277957698.42557001</v>
      </c>
      <c r="BK66" s="17">
        <f t="shared" si="189"/>
        <v>-291555382.62914616</v>
      </c>
      <c r="BL66" s="17">
        <f t="shared" si="189"/>
        <v>-306859688.57113665</v>
      </c>
      <c r="BM66" s="17">
        <f t="shared" si="189"/>
        <v>-323453010.38752991</v>
      </c>
      <c r="BN66" s="17">
        <f t="shared" si="189"/>
        <v>-340909958.72208536</v>
      </c>
      <c r="BO66" s="20">
        <f t="shared" si="189"/>
        <v>-358800000</v>
      </c>
      <c r="BQ66" s="1"/>
      <c r="BR66" s="20">
        <f t="shared" si="190"/>
        <v>0.3948481563801402</v>
      </c>
      <c r="BS66" s="17">
        <f t="shared" si="130"/>
        <v>0.3948481563801402</v>
      </c>
      <c r="BT66" s="17">
        <f t="shared" si="130"/>
        <v>0.3948481563801402</v>
      </c>
      <c r="BU66" s="17">
        <f t="shared" si="130"/>
        <v>0.3948481563801402</v>
      </c>
      <c r="BV66" s="17">
        <f t="shared" si="130"/>
        <v>0.3948481563801402</v>
      </c>
      <c r="BW66" s="17">
        <f t="shared" si="130"/>
        <v>0.3948481563801402</v>
      </c>
      <c r="BX66" s="17">
        <f t="shared" si="130"/>
        <v>0.3948481563801402</v>
      </c>
      <c r="BY66" s="17">
        <f t="shared" si="130"/>
        <v>0.3948481563801402</v>
      </c>
      <c r="BZ66" s="17">
        <f t="shared" si="130"/>
        <v>0.3948481563801402</v>
      </c>
      <c r="CA66" s="17">
        <f t="shared" si="130"/>
        <v>0.3948481563801402</v>
      </c>
      <c r="CB66" s="17">
        <f t="shared" si="130"/>
        <v>0.3948481563801402</v>
      </c>
      <c r="CC66" s="17">
        <f t="shared" si="130"/>
        <v>0.3948481563801402</v>
      </c>
      <c r="CD66" s="17">
        <f t="shared" si="130"/>
        <v>0.3948481563801402</v>
      </c>
      <c r="CE66" s="17">
        <f t="shared" si="130"/>
        <v>0.3948481563801402</v>
      </c>
      <c r="CF66" s="17">
        <f t="shared" si="130"/>
        <v>0.3948481563801402</v>
      </c>
      <c r="CG66" s="17">
        <f t="shared" si="130"/>
        <v>0.3948481563801402</v>
      </c>
      <c r="CH66" s="17">
        <f t="shared" si="130"/>
        <v>0.3948481563801402</v>
      </c>
      <c r="CI66" s="17">
        <f t="shared" si="130"/>
        <v>0.3948481563801402</v>
      </c>
      <c r="CJ66" s="17">
        <f t="shared" si="130"/>
        <v>0.3948481563801402</v>
      </c>
      <c r="CK66" s="17">
        <f t="shared" si="130"/>
        <v>0.3948481563801402</v>
      </c>
      <c r="CL66" s="17">
        <f t="shared" si="130"/>
        <v>0.3948481563801402</v>
      </c>
      <c r="CM66" s="17">
        <f t="shared" si="130"/>
        <v>0.3948481563801402</v>
      </c>
      <c r="CN66" s="17">
        <f t="shared" si="130"/>
        <v>0.3948481563801402</v>
      </c>
      <c r="CO66" s="17">
        <f t="shared" si="130"/>
        <v>0.3948481563801402</v>
      </c>
      <c r="CP66" s="17">
        <f t="shared" si="130"/>
        <v>0.3948481563801402</v>
      </c>
      <c r="CQ66" s="17">
        <f t="shared" si="130"/>
        <v>0.3948481563801402</v>
      </c>
      <c r="CR66" s="17">
        <f t="shared" si="130"/>
        <v>0.3948481563801402</v>
      </c>
      <c r="CS66" s="17">
        <f t="shared" si="130"/>
        <v>0.3948481563801402</v>
      </c>
      <c r="CT66" s="17">
        <f t="shared" si="130"/>
        <v>0.3948481563801402</v>
      </c>
      <c r="CU66" s="20">
        <f t="shared" si="130"/>
        <v>0.3948481563801402</v>
      </c>
      <c r="CW66" s="1"/>
      <c r="CX66" s="20">
        <f t="shared" si="131"/>
        <v>181.54555308595795</v>
      </c>
      <c r="CY66" s="17">
        <f t="shared" si="132"/>
        <v>169.43692006336886</v>
      </c>
      <c r="CZ66" s="17">
        <f t="shared" si="133"/>
        <v>157.43616217050445</v>
      </c>
      <c r="DA66" s="17">
        <f t="shared" si="134"/>
        <v>145.64908994648371</v>
      </c>
      <c r="DB66" s="17">
        <f t="shared" si="135"/>
        <v>134.17745760575511</v>
      </c>
      <c r="DC66" s="17">
        <f t="shared" si="136"/>
        <v>123.11711267780601</v>
      </c>
      <c r="DD66" s="17">
        <f t="shared" si="137"/>
        <v>112.55634720603824</v>
      </c>
      <c r="DE66" s="17">
        <f t="shared" si="138"/>
        <v>102.57449902729294</v>
      </c>
      <c r="DF66" s="17">
        <f t="shared" si="139"/>
        <v>93.240837569266944</v>
      </c>
      <c r="DG66" s="17">
        <f t="shared" si="140"/>
        <v>84.61375317615655</v>
      </c>
      <c r="DH66" s="17">
        <f t="shared" si="141"/>
        <v>76.740253347992166</v>
      </c>
      <c r="DI66" s="17">
        <f t="shared" si="142"/>
        <v>69.655754565596126</v>
      </c>
      <c r="DJ66" s="17">
        <f t="shared" si="143"/>
        <v>63.384145549419827</v>
      </c>
      <c r="DK66" s="17">
        <f t="shared" si="144"/>
        <v>57.938087635253794</v>
      </c>
      <c r="DL66" s="17">
        <f t="shared" si="145"/>
        <v>53.319510945830068</v>
      </c>
      <c r="DM66" s="17">
        <f t="shared" si="146"/>
        <v>49.520261404095137</v>
      </c>
      <c r="DN66" s="17">
        <f t="shared" si="147"/>
        <v>46.522853288897061</v>
      </c>
      <c r="DO66" s="17">
        <f t="shared" si="148"/>
        <v>44.301284631546459</v>
      </c>
      <c r="DP66" s="17">
        <f t="shared" si="149"/>
        <v>42.82187773587259</v>
      </c>
      <c r="DQ66" s="17">
        <f t="shared" si="150"/>
        <v>42.044113776466581</v>
      </c>
      <c r="DR66" s="17">
        <f t="shared" si="151"/>
        <v>41.921438026313425</v>
      </c>
      <c r="DS66" s="17">
        <f t="shared" si="152"/>
        <v>42.402020035307864</v>
      </c>
      <c r="DT66" s="17">
        <f t="shared" si="153"/>
        <v>43.429460357817263</v>
      </c>
      <c r="DU66" s="17">
        <f t="shared" si="154"/>
        <v>44.943441682844544</v>
      </c>
      <c r="DV66" s="17">
        <f t="shared" si="155"/>
        <v>46.88032710439429</v>
      </c>
      <c r="DW66" s="17">
        <f t="shared" si="156"/>
        <v>49.173711626343774</v>
      </c>
      <c r="DX66" s="17">
        <f t="shared" si="157"/>
        <v>51.754934858260697</v>
      </c>
      <c r="DY66" s="17">
        <f t="shared" si="158"/>
        <v>54.553563422633061</v>
      </c>
      <c r="DZ66" s="17">
        <f t="shared" si="159"/>
        <v>57.49785117866228</v>
      </c>
      <c r="EA66" s="20">
        <f t="shared" si="160"/>
        <v>60.515184361985995</v>
      </c>
    </row>
    <row r="67" spans="5:131" x14ac:dyDescent="0.25">
      <c r="E67" s="1"/>
      <c r="F67" s="15">
        <v>300</v>
      </c>
      <c r="G67" s="16">
        <f t="shared" si="191"/>
        <v>279.99075248592419</v>
      </c>
      <c r="H67" s="16">
        <f t="shared" si="192"/>
        <v>260.15976623117029</v>
      </c>
      <c r="I67" s="16">
        <f t="shared" si="193"/>
        <v>240.68189080487474</v>
      </c>
      <c r="J67" s="16">
        <f t="shared" si="194"/>
        <v>221.72527278962039</v>
      </c>
      <c r="K67" s="16">
        <f t="shared" si="195"/>
        <v>203.44829810209563</v>
      </c>
      <c r="L67" s="16">
        <f t="shared" si="196"/>
        <v>185.99686738580459</v>
      </c>
      <c r="M67" s="16">
        <f t="shared" si="197"/>
        <v>169.502084656504</v>
      </c>
      <c r="N67" s="16">
        <f t="shared" si="198"/>
        <v>154.07841610714542</v>
      </c>
      <c r="O67" s="16">
        <f t="shared" si="199"/>
        <v>139.82235048648164</v>
      </c>
      <c r="P67" s="16">
        <f t="shared" si="200"/>
        <v>126.81156664573979</v>
      </c>
      <c r="Q67" s="16">
        <f t="shared" si="201"/>
        <v>115.10458953398148</v>
      </c>
      <c r="R67" s="16">
        <f t="shared" si="202"/>
        <v>104.74089473192788</v>
      </c>
      <c r="S67" s="16">
        <f t="shared" si="203"/>
        <v>95.741404816158763</v>
      </c>
      <c r="T67" s="16">
        <f t="shared" si="204"/>
        <v>88.109309271680843</v>
      </c>
      <c r="U67" s="16">
        <f t="shared" si="205"/>
        <v>81.8311336670114</v>
      </c>
      <c r="V67" s="16">
        <f t="shared" si="206"/>
        <v>76.877983235760354</v>
      </c>
      <c r="W67" s="16">
        <f t="shared" si="207"/>
        <v>73.206890301362677</v>
      </c>
      <c r="X67" s="16">
        <f t="shared" si="208"/>
        <v>70.76220321782931</v>
      </c>
      <c r="Y67" s="16">
        <f t="shared" si="209"/>
        <v>69.476965524833744</v>
      </c>
      <c r="Z67" s="16">
        <f t="shared" si="210"/>
        <v>69.274246568514712</v>
      </c>
      <c r="AA67" s="16">
        <f t="shared" si="211"/>
        <v>70.068397679613923</v>
      </c>
      <c r="AB67" s="16">
        <f t="shared" si="212"/>
        <v>71.766220025099159</v>
      </c>
      <c r="AC67" s="16">
        <f t="shared" si="213"/>
        <v>74.268040586317397</v>
      </c>
      <c r="AD67" s="16">
        <f t="shared" si="214"/>
        <v>77.468700787505583</v>
      </c>
      <c r="AE67" s="16">
        <f t="shared" si="215"/>
        <v>81.258467845358467</v>
      </c>
      <c r="AF67" s="16">
        <f t="shared" si="216"/>
        <v>85.523881987496281</v>
      </c>
      <c r="AG67" s="16">
        <f t="shared" si="217"/>
        <v>90.148553619712928</v>
      </c>
      <c r="AH67" s="16">
        <f t="shared" si="218"/>
        <v>95.01392383558678</v>
      </c>
      <c r="AI67" s="15">
        <v>100</v>
      </c>
      <c r="AK67" s="1"/>
      <c r="AL67" s="20">
        <f t="shared" si="219"/>
        <v>-1076400000</v>
      </c>
      <c r="AM67" s="17">
        <f t="shared" si="189"/>
        <v>-1004606819.9194959</v>
      </c>
      <c r="AN67" s="17">
        <f t="shared" si="189"/>
        <v>-933453241.2374388</v>
      </c>
      <c r="AO67" s="17">
        <f t="shared" si="189"/>
        <v>-863566624.20789051</v>
      </c>
      <c r="AP67" s="17">
        <f t="shared" si="189"/>
        <v>-795550278.76915789</v>
      </c>
      <c r="AQ67" s="17">
        <f t="shared" si="189"/>
        <v>-729972493.59031916</v>
      </c>
      <c r="AR67" s="17">
        <f t="shared" si="189"/>
        <v>-667356760.18026674</v>
      </c>
      <c r="AS67" s="17">
        <f t="shared" si="189"/>
        <v>-608173479.74753618</v>
      </c>
      <c r="AT67" s="17">
        <f t="shared" si="189"/>
        <v>-552833356.99243772</v>
      </c>
      <c r="AU67" s="17">
        <f t="shared" si="189"/>
        <v>-501682593.54549593</v>
      </c>
      <c r="AV67" s="17">
        <f t="shared" si="189"/>
        <v>-454999901.12491435</v>
      </c>
      <c r="AW67" s="17">
        <f t="shared" si="189"/>
        <v>-412995267.2479254</v>
      </c>
      <c r="AX67" s="17">
        <f t="shared" si="189"/>
        <v>-375810330.29815716</v>
      </c>
      <c r="AY67" s="17">
        <f t="shared" si="189"/>
        <v>-343520160.48037755</v>
      </c>
      <c r="AZ67" s="17">
        <f t="shared" si="189"/>
        <v>-316136201.66679078</v>
      </c>
      <c r="BA67" s="17">
        <f t="shared" si="189"/>
        <v>-293610107.59723687</v>
      </c>
      <c r="BB67" s="17">
        <f t="shared" si="189"/>
        <v>-275838203.84990811</v>
      </c>
      <c r="BC67" s="17">
        <f t="shared" si="189"/>
        <v>-262666322.40128922</v>
      </c>
      <c r="BD67" s="17">
        <f t="shared" si="189"/>
        <v>-253894785.1455715</v>
      </c>
      <c r="BE67" s="17">
        <f t="shared" si="189"/>
        <v>-249283352.30310342</v>
      </c>
      <c r="BF67" s="17">
        <f t="shared" si="189"/>
        <v>-248555996.68783075</v>
      </c>
      <c r="BG67" s="17">
        <f t="shared" si="189"/>
        <v>-251405410.87445471</v>
      </c>
      <c r="BH67" s="17">
        <f t="shared" si="189"/>
        <v>-257497197.45005578</v>
      </c>
      <c r="BI67" s="17">
        <f t="shared" si="189"/>
        <v>-266473729.62370676</v>
      </c>
      <c r="BJ67" s="17">
        <f t="shared" si="189"/>
        <v>-277957698.42557001</v>
      </c>
      <c r="BK67" s="17">
        <f t="shared" si="189"/>
        <v>-291555382.62914616</v>
      </c>
      <c r="BL67" s="17">
        <f t="shared" si="189"/>
        <v>-306859688.57113665</v>
      </c>
      <c r="BM67" s="17">
        <f t="shared" si="189"/>
        <v>-323453010.38752991</v>
      </c>
      <c r="BN67" s="17">
        <f t="shared" si="189"/>
        <v>-340909958.72208536</v>
      </c>
      <c r="BO67" s="20">
        <f t="shared" si="189"/>
        <v>-358800000</v>
      </c>
      <c r="BQ67" s="1"/>
      <c r="BR67" s="20">
        <f t="shared" si="190"/>
        <v>0.3948481563801402</v>
      </c>
      <c r="BS67" s="17">
        <f t="shared" si="130"/>
        <v>0.3948481563801402</v>
      </c>
      <c r="BT67" s="17">
        <f t="shared" si="130"/>
        <v>0.3948481563801402</v>
      </c>
      <c r="BU67" s="17">
        <f t="shared" si="130"/>
        <v>0.3948481563801402</v>
      </c>
      <c r="BV67" s="17">
        <f t="shared" si="130"/>
        <v>0.3948481563801402</v>
      </c>
      <c r="BW67" s="17">
        <f t="shared" si="130"/>
        <v>0.3948481563801402</v>
      </c>
      <c r="BX67" s="17">
        <f t="shared" si="130"/>
        <v>0.3948481563801402</v>
      </c>
      <c r="BY67" s="17">
        <f t="shared" si="130"/>
        <v>0.3948481563801402</v>
      </c>
      <c r="BZ67" s="17">
        <f t="shared" si="130"/>
        <v>0.3948481563801402</v>
      </c>
      <c r="CA67" s="17">
        <f t="shared" si="130"/>
        <v>0.3948481563801402</v>
      </c>
      <c r="CB67" s="17">
        <f t="shared" si="130"/>
        <v>0.3948481563801402</v>
      </c>
      <c r="CC67" s="17">
        <f t="shared" si="130"/>
        <v>0.3948481563801402</v>
      </c>
      <c r="CD67" s="17">
        <f t="shared" si="130"/>
        <v>0.3948481563801402</v>
      </c>
      <c r="CE67" s="17">
        <f t="shared" si="130"/>
        <v>0.3948481563801402</v>
      </c>
      <c r="CF67" s="17">
        <f t="shared" si="130"/>
        <v>0.3948481563801402</v>
      </c>
      <c r="CG67" s="17">
        <f t="shared" si="130"/>
        <v>0.3948481563801402</v>
      </c>
      <c r="CH67" s="17">
        <f t="shared" si="130"/>
        <v>0.3948481563801402</v>
      </c>
      <c r="CI67" s="17">
        <f t="shared" si="130"/>
        <v>0.3948481563801402</v>
      </c>
      <c r="CJ67" s="17">
        <f t="shared" si="130"/>
        <v>0.3948481563801402</v>
      </c>
      <c r="CK67" s="17">
        <f t="shared" si="130"/>
        <v>0.3948481563801402</v>
      </c>
      <c r="CL67" s="17">
        <f t="shared" si="130"/>
        <v>0.3948481563801402</v>
      </c>
      <c r="CM67" s="17">
        <f t="shared" si="130"/>
        <v>0.3948481563801402</v>
      </c>
      <c r="CN67" s="17">
        <f t="shared" si="130"/>
        <v>0.3948481563801402</v>
      </c>
      <c r="CO67" s="17">
        <f t="shared" si="130"/>
        <v>0.3948481563801402</v>
      </c>
      <c r="CP67" s="17">
        <f t="shared" si="130"/>
        <v>0.3948481563801402</v>
      </c>
      <c r="CQ67" s="17">
        <f t="shared" si="130"/>
        <v>0.3948481563801402</v>
      </c>
      <c r="CR67" s="17">
        <f t="shared" si="130"/>
        <v>0.3948481563801402</v>
      </c>
      <c r="CS67" s="17">
        <f t="shared" si="130"/>
        <v>0.3948481563801402</v>
      </c>
      <c r="CT67" s="17">
        <f t="shared" si="130"/>
        <v>0.3948481563801402</v>
      </c>
      <c r="CU67" s="20">
        <f t="shared" si="130"/>
        <v>0.3948481563801402</v>
      </c>
      <c r="CW67" s="1"/>
      <c r="CX67" s="20">
        <f t="shared" si="131"/>
        <v>181.54555308595795</v>
      </c>
      <c r="CY67" s="17">
        <f t="shared" si="132"/>
        <v>169.43692006336886</v>
      </c>
      <c r="CZ67" s="17">
        <f t="shared" si="133"/>
        <v>157.43616217050445</v>
      </c>
      <c r="DA67" s="17">
        <f t="shared" si="134"/>
        <v>145.64908994648371</v>
      </c>
      <c r="DB67" s="17">
        <f t="shared" si="135"/>
        <v>134.17745760575511</v>
      </c>
      <c r="DC67" s="17">
        <f t="shared" si="136"/>
        <v>123.11711267780601</v>
      </c>
      <c r="DD67" s="17">
        <f t="shared" si="137"/>
        <v>112.55634720603821</v>
      </c>
      <c r="DE67" s="17">
        <f t="shared" si="138"/>
        <v>102.57449902729293</v>
      </c>
      <c r="DF67" s="17">
        <f t="shared" si="139"/>
        <v>93.240837569266944</v>
      </c>
      <c r="DG67" s="17">
        <f t="shared" si="140"/>
        <v>84.61375317615655</v>
      </c>
      <c r="DH67" s="17">
        <f t="shared" si="141"/>
        <v>76.740253347992152</v>
      </c>
      <c r="DI67" s="17">
        <f t="shared" si="142"/>
        <v>69.655754565596098</v>
      </c>
      <c r="DJ67" s="17">
        <f t="shared" si="143"/>
        <v>63.384145549419813</v>
      </c>
      <c r="DK67" s="17">
        <f t="shared" si="144"/>
        <v>57.938087635253794</v>
      </c>
      <c r="DL67" s="17">
        <f t="shared" si="145"/>
        <v>53.319510945830061</v>
      </c>
      <c r="DM67" s="17">
        <f t="shared" si="146"/>
        <v>49.520261404095123</v>
      </c>
      <c r="DN67" s="17">
        <f t="shared" si="147"/>
        <v>46.522853288897046</v>
      </c>
      <c r="DO67" s="17">
        <f t="shared" si="148"/>
        <v>44.301284631546451</v>
      </c>
      <c r="DP67" s="17">
        <f t="shared" si="149"/>
        <v>42.821877735872576</v>
      </c>
      <c r="DQ67" s="17">
        <f t="shared" si="150"/>
        <v>42.044113776466574</v>
      </c>
      <c r="DR67" s="17">
        <f t="shared" si="151"/>
        <v>41.921438026313417</v>
      </c>
      <c r="DS67" s="17">
        <f t="shared" si="152"/>
        <v>42.402020035307864</v>
      </c>
      <c r="DT67" s="17">
        <f t="shared" si="153"/>
        <v>43.429460357817256</v>
      </c>
      <c r="DU67" s="17">
        <f t="shared" si="154"/>
        <v>44.943441682844544</v>
      </c>
      <c r="DV67" s="17">
        <f t="shared" si="155"/>
        <v>46.88032710439429</v>
      </c>
      <c r="DW67" s="17">
        <f t="shared" si="156"/>
        <v>49.173711626343774</v>
      </c>
      <c r="DX67" s="17">
        <f t="shared" si="157"/>
        <v>51.754934858260697</v>
      </c>
      <c r="DY67" s="17">
        <f t="shared" si="158"/>
        <v>54.553563422633061</v>
      </c>
      <c r="DZ67" s="17">
        <f t="shared" si="159"/>
        <v>57.49785117866228</v>
      </c>
      <c r="EA67" s="20">
        <f t="shared" si="160"/>
        <v>60.515184361985995</v>
      </c>
    </row>
    <row r="68" spans="5:131" x14ac:dyDescent="0.25">
      <c r="E68" s="1"/>
      <c r="F68" s="15">
        <v>300</v>
      </c>
      <c r="G68" s="16">
        <f t="shared" si="191"/>
        <v>279.99075248592419</v>
      </c>
      <c r="H68" s="16">
        <f t="shared" si="192"/>
        <v>260.15976623117029</v>
      </c>
      <c r="I68" s="16">
        <f t="shared" si="193"/>
        <v>240.68189080487474</v>
      </c>
      <c r="J68" s="16">
        <f t="shared" si="194"/>
        <v>221.72527278962036</v>
      </c>
      <c r="K68" s="16">
        <f t="shared" si="195"/>
        <v>203.44829810209563</v>
      </c>
      <c r="L68" s="16">
        <f t="shared" si="196"/>
        <v>185.99686738580456</v>
      </c>
      <c r="M68" s="16">
        <f t="shared" si="197"/>
        <v>169.50208465650397</v>
      </c>
      <c r="N68" s="16">
        <f t="shared" si="198"/>
        <v>154.07841610714539</v>
      </c>
      <c r="O68" s="16">
        <f t="shared" si="199"/>
        <v>139.82235048648158</v>
      </c>
      <c r="P68" s="16">
        <f t="shared" si="200"/>
        <v>126.81156664573977</v>
      </c>
      <c r="Q68" s="16">
        <f t="shared" si="201"/>
        <v>115.10458953398145</v>
      </c>
      <c r="R68" s="16">
        <f t="shared" si="202"/>
        <v>104.74089473192787</v>
      </c>
      <c r="S68" s="16">
        <f t="shared" si="203"/>
        <v>95.741404816158749</v>
      </c>
      <c r="T68" s="16">
        <f t="shared" si="204"/>
        <v>88.109309271680829</v>
      </c>
      <c r="U68" s="16">
        <f t="shared" si="205"/>
        <v>81.831133667011386</v>
      </c>
      <c r="V68" s="16">
        <f t="shared" si="206"/>
        <v>76.877983235760325</v>
      </c>
      <c r="W68" s="16">
        <f t="shared" si="207"/>
        <v>73.206890301362662</v>
      </c>
      <c r="X68" s="16">
        <f t="shared" si="208"/>
        <v>70.762203217829295</v>
      </c>
      <c r="Y68" s="16">
        <f t="shared" si="209"/>
        <v>69.47696552483373</v>
      </c>
      <c r="Z68" s="16">
        <f t="shared" si="210"/>
        <v>69.274246568514698</v>
      </c>
      <c r="AA68" s="16">
        <f t="shared" si="211"/>
        <v>70.068397679613909</v>
      </c>
      <c r="AB68" s="16">
        <f t="shared" si="212"/>
        <v>71.766220025099159</v>
      </c>
      <c r="AC68" s="16">
        <f t="shared" si="213"/>
        <v>74.268040586317383</v>
      </c>
      <c r="AD68" s="16">
        <f t="shared" si="214"/>
        <v>77.468700787505583</v>
      </c>
      <c r="AE68" s="16">
        <f t="shared" si="215"/>
        <v>81.258467845358467</v>
      </c>
      <c r="AF68" s="16">
        <f t="shared" si="216"/>
        <v>85.523881987496281</v>
      </c>
      <c r="AG68" s="16">
        <f t="shared" si="217"/>
        <v>90.148553619712914</v>
      </c>
      <c r="AH68" s="16">
        <f t="shared" si="218"/>
        <v>95.01392383558678</v>
      </c>
      <c r="AI68" s="15">
        <v>100</v>
      </c>
      <c r="AK68" s="1"/>
      <c r="AL68" s="20">
        <f t="shared" si="219"/>
        <v>-1076400000</v>
      </c>
      <c r="AM68" s="17">
        <f t="shared" si="189"/>
        <v>-1004606819.9194959</v>
      </c>
      <c r="AN68" s="17">
        <f t="shared" si="189"/>
        <v>-933453241.2374388</v>
      </c>
      <c r="AO68" s="17">
        <f t="shared" si="189"/>
        <v>-863566624.20789039</v>
      </c>
      <c r="AP68" s="17">
        <f t="shared" si="189"/>
        <v>-795550278.76915765</v>
      </c>
      <c r="AQ68" s="17">
        <f t="shared" si="189"/>
        <v>-729972493.59031904</v>
      </c>
      <c r="AR68" s="17">
        <f t="shared" si="189"/>
        <v>-667356760.18026662</v>
      </c>
      <c r="AS68" s="17">
        <f t="shared" si="189"/>
        <v>-608173479.74753606</v>
      </c>
      <c r="AT68" s="17">
        <f t="shared" si="189"/>
        <v>-552833356.9924376</v>
      </c>
      <c r="AU68" s="17">
        <f t="shared" si="189"/>
        <v>-501682593.54549581</v>
      </c>
      <c r="AV68" s="17">
        <f t="shared" si="189"/>
        <v>-454999901.12491423</v>
      </c>
      <c r="AW68" s="17">
        <f t="shared" si="189"/>
        <v>-412995267.24792534</v>
      </c>
      <c r="AX68" s="17">
        <f t="shared" si="189"/>
        <v>-375810330.29815716</v>
      </c>
      <c r="AY68" s="17">
        <f t="shared" si="189"/>
        <v>-343520160.48037755</v>
      </c>
      <c r="AZ68" s="17">
        <f t="shared" si="189"/>
        <v>-316136201.66679078</v>
      </c>
      <c r="BA68" s="17">
        <f t="shared" si="189"/>
        <v>-293610107.59723681</v>
      </c>
      <c r="BB68" s="17">
        <f t="shared" si="189"/>
        <v>-275838203.84990805</v>
      </c>
      <c r="BC68" s="17">
        <f t="shared" si="189"/>
        <v>-262666322.40128919</v>
      </c>
      <c r="BD68" s="17">
        <f t="shared" si="189"/>
        <v>-253894785.1455715</v>
      </c>
      <c r="BE68" s="17">
        <f t="shared" si="189"/>
        <v>-249283352.30310342</v>
      </c>
      <c r="BF68" s="17">
        <f t="shared" si="189"/>
        <v>-248555996.68783075</v>
      </c>
      <c r="BG68" s="17">
        <f t="shared" si="189"/>
        <v>-251405410.87445471</v>
      </c>
      <c r="BH68" s="17">
        <f t="shared" si="189"/>
        <v>-257497197.45005578</v>
      </c>
      <c r="BI68" s="17">
        <f t="shared" si="189"/>
        <v>-266473729.62370673</v>
      </c>
      <c r="BJ68" s="17">
        <f t="shared" si="189"/>
        <v>-277957698.42557001</v>
      </c>
      <c r="BK68" s="17">
        <f t="shared" si="189"/>
        <v>-291555382.62914616</v>
      </c>
      <c r="BL68" s="17">
        <f t="shared" si="189"/>
        <v>-306859688.57113665</v>
      </c>
      <c r="BM68" s="17">
        <f t="shared" si="189"/>
        <v>-323453010.38752991</v>
      </c>
      <c r="BN68" s="17">
        <f t="shared" si="189"/>
        <v>-340909958.72208536</v>
      </c>
      <c r="BO68" s="20">
        <f t="shared" si="189"/>
        <v>-358800000</v>
      </c>
      <c r="BQ68" s="1"/>
      <c r="BR68" s="20">
        <f t="shared" si="190"/>
        <v>0.3948481563801402</v>
      </c>
      <c r="BS68" s="17">
        <f t="shared" si="130"/>
        <v>0.3948481563801402</v>
      </c>
      <c r="BT68" s="17">
        <f t="shared" si="130"/>
        <v>0.3948481563801402</v>
      </c>
      <c r="BU68" s="17">
        <f t="shared" si="130"/>
        <v>0.3948481563801402</v>
      </c>
      <c r="BV68" s="17">
        <f t="shared" si="130"/>
        <v>0.3948481563801402</v>
      </c>
      <c r="BW68" s="17">
        <f t="shared" si="130"/>
        <v>0.3948481563801402</v>
      </c>
      <c r="BX68" s="17">
        <f t="shared" si="130"/>
        <v>0.3948481563801402</v>
      </c>
      <c r="BY68" s="17">
        <f t="shared" si="130"/>
        <v>0.3948481563801402</v>
      </c>
      <c r="BZ68" s="17">
        <f t="shared" si="130"/>
        <v>0.3948481563801402</v>
      </c>
      <c r="CA68" s="17">
        <f t="shared" si="130"/>
        <v>0.3948481563801402</v>
      </c>
      <c r="CB68" s="17">
        <f t="shared" si="130"/>
        <v>0.3948481563801402</v>
      </c>
      <c r="CC68" s="17">
        <f t="shared" si="130"/>
        <v>0.3948481563801402</v>
      </c>
      <c r="CD68" s="17">
        <f t="shared" si="130"/>
        <v>0.3948481563801402</v>
      </c>
      <c r="CE68" s="17">
        <f t="shared" si="130"/>
        <v>0.3948481563801402</v>
      </c>
      <c r="CF68" s="17">
        <f t="shared" si="130"/>
        <v>0.3948481563801402</v>
      </c>
      <c r="CG68" s="17">
        <f t="shared" si="130"/>
        <v>0.3948481563801402</v>
      </c>
      <c r="CH68" s="17">
        <f t="shared" si="130"/>
        <v>0.3948481563801402</v>
      </c>
      <c r="CI68" s="17">
        <f t="shared" si="130"/>
        <v>0.3948481563801402</v>
      </c>
      <c r="CJ68" s="17">
        <f t="shared" si="130"/>
        <v>0.3948481563801402</v>
      </c>
      <c r="CK68" s="17">
        <f t="shared" si="130"/>
        <v>0.3948481563801402</v>
      </c>
      <c r="CL68" s="17">
        <f t="shared" si="130"/>
        <v>0.3948481563801402</v>
      </c>
      <c r="CM68" s="17">
        <f t="shared" si="130"/>
        <v>0.3948481563801402</v>
      </c>
      <c r="CN68" s="17">
        <f t="shared" si="130"/>
        <v>0.3948481563801402</v>
      </c>
      <c r="CO68" s="17">
        <f t="shared" si="130"/>
        <v>0.3948481563801402</v>
      </c>
      <c r="CP68" s="17">
        <f t="shared" si="130"/>
        <v>0.3948481563801402</v>
      </c>
      <c r="CQ68" s="17">
        <f t="shared" si="130"/>
        <v>0.3948481563801402</v>
      </c>
      <c r="CR68" s="17">
        <f t="shared" si="130"/>
        <v>0.3948481563801402</v>
      </c>
      <c r="CS68" s="17">
        <f t="shared" si="130"/>
        <v>0.3948481563801402</v>
      </c>
      <c r="CT68" s="17">
        <f t="shared" si="130"/>
        <v>0.3948481563801402</v>
      </c>
      <c r="CU68" s="20">
        <f t="shared" si="130"/>
        <v>0.3948481563801402</v>
      </c>
      <c r="CW68" s="1"/>
      <c r="CX68" s="20">
        <f t="shared" si="131"/>
        <v>181.54555308595795</v>
      </c>
      <c r="CY68" s="17">
        <f t="shared" si="132"/>
        <v>169.43692006336886</v>
      </c>
      <c r="CZ68" s="17">
        <f t="shared" si="133"/>
        <v>157.43616217050445</v>
      </c>
      <c r="DA68" s="17">
        <f t="shared" si="134"/>
        <v>145.64908994648371</v>
      </c>
      <c r="DB68" s="17">
        <f t="shared" si="135"/>
        <v>134.17745760575508</v>
      </c>
      <c r="DC68" s="17">
        <f t="shared" si="136"/>
        <v>123.11711267780599</v>
      </c>
      <c r="DD68" s="17">
        <f t="shared" si="137"/>
        <v>112.5563472060382</v>
      </c>
      <c r="DE68" s="17">
        <f t="shared" si="138"/>
        <v>102.57449902729292</v>
      </c>
      <c r="DF68" s="17">
        <f t="shared" si="139"/>
        <v>93.24083756926693</v>
      </c>
      <c r="DG68" s="17">
        <f t="shared" si="140"/>
        <v>84.613753176156521</v>
      </c>
      <c r="DH68" s="17">
        <f t="shared" si="141"/>
        <v>76.740253347992137</v>
      </c>
      <c r="DI68" s="17">
        <f t="shared" si="142"/>
        <v>69.655754565596084</v>
      </c>
      <c r="DJ68" s="17">
        <f t="shared" si="143"/>
        <v>63.384145549419806</v>
      </c>
      <c r="DK68" s="17">
        <f t="shared" si="144"/>
        <v>57.938087635253787</v>
      </c>
      <c r="DL68" s="17">
        <f t="shared" si="145"/>
        <v>53.319510945830054</v>
      </c>
      <c r="DM68" s="17">
        <f t="shared" si="146"/>
        <v>49.520261404095109</v>
      </c>
      <c r="DN68" s="17">
        <f t="shared" si="147"/>
        <v>46.522853288897032</v>
      </c>
      <c r="DO68" s="17">
        <f t="shared" si="148"/>
        <v>44.301284631546444</v>
      </c>
      <c r="DP68" s="17">
        <f t="shared" si="149"/>
        <v>42.821877735872569</v>
      </c>
      <c r="DQ68" s="17">
        <f t="shared" si="150"/>
        <v>42.044113776466567</v>
      </c>
      <c r="DR68" s="17">
        <f t="shared" si="151"/>
        <v>41.92143802631341</v>
      </c>
      <c r="DS68" s="17">
        <f t="shared" si="152"/>
        <v>42.402020035307856</v>
      </c>
      <c r="DT68" s="17">
        <f t="shared" si="153"/>
        <v>43.429460357817248</v>
      </c>
      <c r="DU68" s="17">
        <f t="shared" si="154"/>
        <v>44.943441682844529</v>
      </c>
      <c r="DV68" s="17">
        <f t="shared" si="155"/>
        <v>46.88032710439429</v>
      </c>
      <c r="DW68" s="17">
        <f t="shared" si="156"/>
        <v>49.173711626343767</v>
      </c>
      <c r="DX68" s="17">
        <f t="shared" si="157"/>
        <v>51.754934858260697</v>
      </c>
      <c r="DY68" s="17">
        <f t="shared" si="158"/>
        <v>54.553563422633054</v>
      </c>
      <c r="DZ68" s="17">
        <f t="shared" si="159"/>
        <v>57.49785117866228</v>
      </c>
      <c r="EA68" s="20">
        <f t="shared" si="160"/>
        <v>60.515184361985995</v>
      </c>
    </row>
    <row r="69" spans="5:131" x14ac:dyDescent="0.25">
      <c r="E69" s="1"/>
      <c r="F69" s="15">
        <v>300</v>
      </c>
      <c r="G69" s="16">
        <f t="shared" si="191"/>
        <v>279.99075248592419</v>
      </c>
      <c r="H69" s="16">
        <f t="shared" si="192"/>
        <v>260.15976623117024</v>
      </c>
      <c r="I69" s="16">
        <f t="shared" si="193"/>
        <v>240.68189080487474</v>
      </c>
      <c r="J69" s="16">
        <f t="shared" si="194"/>
        <v>221.72527278962031</v>
      </c>
      <c r="K69" s="16">
        <f t="shared" si="195"/>
        <v>203.44829810209561</v>
      </c>
      <c r="L69" s="16">
        <f t="shared" si="196"/>
        <v>185.99686738580453</v>
      </c>
      <c r="M69" s="16">
        <f t="shared" si="197"/>
        <v>169.50208465650394</v>
      </c>
      <c r="N69" s="16">
        <f t="shared" si="198"/>
        <v>154.07841610714539</v>
      </c>
      <c r="O69" s="16">
        <f t="shared" si="199"/>
        <v>139.82235048648155</v>
      </c>
      <c r="P69" s="16">
        <f t="shared" si="200"/>
        <v>126.81156664573976</v>
      </c>
      <c r="Q69" s="16">
        <f t="shared" si="201"/>
        <v>115.10458953398143</v>
      </c>
      <c r="R69" s="16">
        <f t="shared" si="202"/>
        <v>104.74089473192784</v>
      </c>
      <c r="S69" s="16">
        <f t="shared" si="203"/>
        <v>95.741404816158735</v>
      </c>
      <c r="T69" s="16">
        <f t="shared" si="204"/>
        <v>88.1093092716808</v>
      </c>
      <c r="U69" s="16">
        <f t="shared" si="205"/>
        <v>81.831133667011372</v>
      </c>
      <c r="V69" s="16">
        <f t="shared" si="206"/>
        <v>76.877983235760311</v>
      </c>
      <c r="W69" s="16">
        <f t="shared" si="207"/>
        <v>73.206890301362634</v>
      </c>
      <c r="X69" s="16">
        <f t="shared" si="208"/>
        <v>70.762203217829281</v>
      </c>
      <c r="Y69" s="16">
        <f t="shared" si="209"/>
        <v>69.476965524833716</v>
      </c>
      <c r="Z69" s="16">
        <f t="shared" si="210"/>
        <v>69.27424656851467</v>
      </c>
      <c r="AA69" s="16">
        <f t="shared" si="211"/>
        <v>70.068397679613895</v>
      </c>
      <c r="AB69" s="16">
        <f t="shared" si="212"/>
        <v>71.766220025099145</v>
      </c>
      <c r="AC69" s="16">
        <f t="shared" si="213"/>
        <v>74.268040586317355</v>
      </c>
      <c r="AD69" s="16">
        <f t="shared" si="214"/>
        <v>77.468700787505568</v>
      </c>
      <c r="AE69" s="16">
        <f t="shared" si="215"/>
        <v>81.258467845358439</v>
      </c>
      <c r="AF69" s="16">
        <f t="shared" si="216"/>
        <v>85.523881987496281</v>
      </c>
      <c r="AG69" s="16">
        <f t="shared" si="217"/>
        <v>90.148553619712914</v>
      </c>
      <c r="AH69" s="16">
        <f t="shared" si="218"/>
        <v>95.01392383558678</v>
      </c>
      <c r="AI69" s="15">
        <v>100</v>
      </c>
      <c r="AK69" s="1"/>
      <c r="AL69" s="20">
        <f t="shared" si="219"/>
        <v>-1076400000</v>
      </c>
      <c r="AM69" s="17">
        <f t="shared" si="189"/>
        <v>-1004606819.9194959</v>
      </c>
      <c r="AN69" s="17">
        <f t="shared" si="189"/>
        <v>-933453241.2374388</v>
      </c>
      <c r="AO69" s="17">
        <f t="shared" si="189"/>
        <v>-863566624.20789039</v>
      </c>
      <c r="AP69" s="17">
        <f t="shared" si="189"/>
        <v>-795550278.76915741</v>
      </c>
      <c r="AQ69" s="17">
        <f t="shared" si="189"/>
        <v>-729972493.59031892</v>
      </c>
      <c r="AR69" s="17">
        <f t="shared" si="189"/>
        <v>-667356760.18026662</v>
      </c>
      <c r="AS69" s="17">
        <f t="shared" si="189"/>
        <v>-608173479.74753606</v>
      </c>
      <c r="AT69" s="17">
        <f t="shared" si="189"/>
        <v>-552833356.9924376</v>
      </c>
      <c r="AU69" s="17">
        <f t="shared" si="189"/>
        <v>-501682593.54549569</v>
      </c>
      <c r="AV69" s="17">
        <f t="shared" si="189"/>
        <v>-454999901.12491417</v>
      </c>
      <c r="AW69" s="17">
        <f t="shared" si="189"/>
        <v>-412995267.24792534</v>
      </c>
      <c r="AX69" s="17">
        <f t="shared" si="189"/>
        <v>-375810330.29815704</v>
      </c>
      <c r="AY69" s="17">
        <f t="shared" si="189"/>
        <v>-343520160.48037744</v>
      </c>
      <c r="AZ69" s="17">
        <f t="shared" si="189"/>
        <v>-316136201.66679066</v>
      </c>
      <c r="BA69" s="17">
        <f t="shared" si="189"/>
        <v>-293610107.59723675</v>
      </c>
      <c r="BB69" s="17">
        <f t="shared" si="189"/>
        <v>-275838203.84990799</v>
      </c>
      <c r="BC69" s="17">
        <f t="shared" si="189"/>
        <v>-262666322.40128908</v>
      </c>
      <c r="BD69" s="17">
        <f t="shared" si="189"/>
        <v>-253894785.14557141</v>
      </c>
      <c r="BE69" s="17">
        <f t="shared" si="189"/>
        <v>-249283352.30310333</v>
      </c>
      <c r="BF69" s="17">
        <f t="shared" si="189"/>
        <v>-248555996.6878306</v>
      </c>
      <c r="BG69" s="17">
        <f t="shared" si="189"/>
        <v>-251405410.87445456</v>
      </c>
      <c r="BH69" s="17">
        <f t="shared" si="189"/>
        <v>-257497197.45005569</v>
      </c>
      <c r="BI69" s="17">
        <f t="shared" si="189"/>
        <v>-266473729.62370661</v>
      </c>
      <c r="BJ69" s="17">
        <f t="shared" si="189"/>
        <v>-277957698.42556995</v>
      </c>
      <c r="BK69" s="17">
        <f t="shared" si="189"/>
        <v>-291555382.6291461</v>
      </c>
      <c r="BL69" s="17">
        <f t="shared" si="189"/>
        <v>-306859688.57113659</v>
      </c>
      <c r="BM69" s="17">
        <f t="shared" si="189"/>
        <v>-323453010.38752985</v>
      </c>
      <c r="BN69" s="17">
        <f t="shared" si="189"/>
        <v>-340909958.72208536</v>
      </c>
      <c r="BO69" s="20">
        <f t="shared" si="189"/>
        <v>-358800000</v>
      </c>
      <c r="BQ69" s="1"/>
      <c r="BR69" s="20">
        <f t="shared" si="190"/>
        <v>0.3948481563801402</v>
      </c>
      <c r="BS69" s="17">
        <f t="shared" si="130"/>
        <v>0.3948481563801402</v>
      </c>
      <c r="BT69" s="17">
        <f t="shared" si="130"/>
        <v>0.3948481563801402</v>
      </c>
      <c r="BU69" s="17">
        <f t="shared" si="130"/>
        <v>0.3948481563801402</v>
      </c>
      <c r="BV69" s="17">
        <f t="shared" si="130"/>
        <v>0.3948481563801402</v>
      </c>
      <c r="BW69" s="17">
        <f t="shared" si="130"/>
        <v>0.3948481563801402</v>
      </c>
      <c r="BX69" s="17">
        <f t="shared" si="130"/>
        <v>0.3948481563801402</v>
      </c>
      <c r="BY69" s="17">
        <f t="shared" si="130"/>
        <v>0.3948481563801402</v>
      </c>
      <c r="BZ69" s="17">
        <f t="shared" si="130"/>
        <v>0.3948481563801402</v>
      </c>
      <c r="CA69" s="17">
        <f t="shared" si="130"/>
        <v>0.3948481563801402</v>
      </c>
      <c r="CB69" s="17">
        <f t="shared" si="130"/>
        <v>0.3948481563801402</v>
      </c>
      <c r="CC69" s="17">
        <f t="shared" si="130"/>
        <v>0.3948481563801402</v>
      </c>
      <c r="CD69" s="17">
        <f t="shared" si="130"/>
        <v>0.3948481563801402</v>
      </c>
      <c r="CE69" s="17">
        <f t="shared" si="130"/>
        <v>0.3948481563801402</v>
      </c>
      <c r="CF69" s="17">
        <f t="shared" si="130"/>
        <v>0.3948481563801402</v>
      </c>
      <c r="CG69" s="17">
        <f t="shared" si="130"/>
        <v>0.3948481563801402</v>
      </c>
      <c r="CH69" s="17">
        <f t="shared" si="130"/>
        <v>0.3948481563801402</v>
      </c>
      <c r="CI69" s="17">
        <f t="shared" si="130"/>
        <v>0.3948481563801402</v>
      </c>
      <c r="CJ69" s="17">
        <f t="shared" si="130"/>
        <v>0.3948481563801402</v>
      </c>
      <c r="CK69" s="17">
        <f t="shared" si="130"/>
        <v>0.3948481563801402</v>
      </c>
      <c r="CL69" s="17">
        <f t="shared" si="130"/>
        <v>0.3948481563801402</v>
      </c>
      <c r="CM69" s="17">
        <f t="shared" si="130"/>
        <v>0.3948481563801402</v>
      </c>
      <c r="CN69" s="17">
        <f t="shared" si="130"/>
        <v>0.3948481563801402</v>
      </c>
      <c r="CO69" s="17">
        <f t="shared" si="130"/>
        <v>0.3948481563801402</v>
      </c>
      <c r="CP69" s="17">
        <f t="shared" si="130"/>
        <v>0.3948481563801402</v>
      </c>
      <c r="CQ69" s="17">
        <f t="shared" si="130"/>
        <v>0.3948481563801402</v>
      </c>
      <c r="CR69" s="17">
        <f t="shared" si="130"/>
        <v>0.3948481563801402</v>
      </c>
      <c r="CS69" s="17">
        <f t="shared" si="130"/>
        <v>0.3948481563801402</v>
      </c>
      <c r="CT69" s="17">
        <f t="shared" si="130"/>
        <v>0.3948481563801402</v>
      </c>
      <c r="CU69" s="20">
        <f t="shared" si="130"/>
        <v>0.3948481563801402</v>
      </c>
      <c r="CW69" s="1"/>
      <c r="CX69" s="20">
        <f t="shared" si="131"/>
        <v>181.54555308595795</v>
      </c>
      <c r="CY69" s="17">
        <f t="shared" si="132"/>
        <v>169.43692006336886</v>
      </c>
      <c r="CZ69" s="17">
        <f t="shared" si="133"/>
        <v>157.43616217050442</v>
      </c>
      <c r="DA69" s="17">
        <f t="shared" si="134"/>
        <v>145.64908994648371</v>
      </c>
      <c r="DB69" s="17">
        <f t="shared" si="135"/>
        <v>134.17745760575505</v>
      </c>
      <c r="DC69" s="17">
        <f t="shared" si="136"/>
        <v>123.11711267780596</v>
      </c>
      <c r="DD69" s="17">
        <f t="shared" si="137"/>
        <v>112.5563472060382</v>
      </c>
      <c r="DE69" s="17">
        <f t="shared" si="138"/>
        <v>102.5744990272929</v>
      </c>
      <c r="DF69" s="17">
        <f t="shared" si="139"/>
        <v>93.24083756926693</v>
      </c>
      <c r="DG69" s="17">
        <f t="shared" si="140"/>
        <v>84.613753176156493</v>
      </c>
      <c r="DH69" s="17">
        <f t="shared" si="141"/>
        <v>76.740253347992123</v>
      </c>
      <c r="DI69" s="17">
        <f t="shared" si="142"/>
        <v>69.655754565596069</v>
      </c>
      <c r="DJ69" s="17">
        <f t="shared" si="143"/>
        <v>63.384145549419777</v>
      </c>
      <c r="DK69" s="17">
        <f t="shared" si="144"/>
        <v>57.938087635253773</v>
      </c>
      <c r="DL69" s="17">
        <f t="shared" si="145"/>
        <v>53.319510945830032</v>
      </c>
      <c r="DM69" s="17">
        <f t="shared" si="146"/>
        <v>49.520261404095102</v>
      </c>
      <c r="DN69" s="17">
        <f t="shared" si="147"/>
        <v>46.522853288897018</v>
      </c>
      <c r="DO69" s="17">
        <f t="shared" si="148"/>
        <v>44.301284631546423</v>
      </c>
      <c r="DP69" s="17">
        <f t="shared" si="149"/>
        <v>42.821877735872555</v>
      </c>
      <c r="DQ69" s="17">
        <f t="shared" si="150"/>
        <v>42.044113776466553</v>
      </c>
      <c r="DR69" s="17">
        <f t="shared" si="151"/>
        <v>41.921438026313389</v>
      </c>
      <c r="DS69" s="17">
        <f t="shared" si="152"/>
        <v>42.402020035307842</v>
      </c>
      <c r="DT69" s="17">
        <f t="shared" si="153"/>
        <v>43.429460357817241</v>
      </c>
      <c r="DU69" s="17">
        <f t="shared" si="154"/>
        <v>44.943441682844508</v>
      </c>
      <c r="DV69" s="17">
        <f t="shared" si="155"/>
        <v>46.880327104394276</v>
      </c>
      <c r="DW69" s="17">
        <f t="shared" si="156"/>
        <v>49.173711626343753</v>
      </c>
      <c r="DX69" s="17">
        <f t="shared" si="157"/>
        <v>51.75493485826069</v>
      </c>
      <c r="DY69" s="17">
        <f t="shared" si="158"/>
        <v>54.553563422633047</v>
      </c>
      <c r="DZ69" s="17">
        <f t="shared" si="159"/>
        <v>57.49785117866228</v>
      </c>
      <c r="EA69" s="20">
        <f t="shared" si="160"/>
        <v>60.515184361985995</v>
      </c>
    </row>
    <row r="70" spans="5:131" x14ac:dyDescent="0.25">
      <c r="E70" s="1"/>
      <c r="F70" s="15">
        <v>300</v>
      </c>
      <c r="G70" s="16">
        <f t="shared" si="191"/>
        <v>279.99075248592419</v>
      </c>
      <c r="H70" s="16">
        <f t="shared" si="192"/>
        <v>260.15976623117024</v>
      </c>
      <c r="I70" s="16">
        <f t="shared" si="193"/>
        <v>240.68189080487468</v>
      </c>
      <c r="J70" s="16">
        <f t="shared" si="194"/>
        <v>221.72527278962025</v>
      </c>
      <c r="K70" s="16">
        <f t="shared" si="195"/>
        <v>203.44829810209558</v>
      </c>
      <c r="L70" s="16">
        <f t="shared" si="196"/>
        <v>185.99686738580453</v>
      </c>
      <c r="M70" s="16">
        <f t="shared" si="197"/>
        <v>169.50208465650394</v>
      </c>
      <c r="N70" s="16">
        <f t="shared" si="198"/>
        <v>154.07841610714536</v>
      </c>
      <c r="O70" s="16">
        <f t="shared" si="199"/>
        <v>139.82235048648153</v>
      </c>
      <c r="P70" s="16">
        <f t="shared" si="200"/>
        <v>126.81156664573972</v>
      </c>
      <c r="Q70" s="16">
        <f t="shared" si="201"/>
        <v>115.1045895339814</v>
      </c>
      <c r="R70" s="16">
        <f t="shared" si="202"/>
        <v>104.74089473192781</v>
      </c>
      <c r="S70" s="16">
        <f t="shared" si="203"/>
        <v>95.741404816158706</v>
      </c>
      <c r="T70" s="16">
        <f t="shared" si="204"/>
        <v>88.109309271680772</v>
      </c>
      <c r="U70" s="16">
        <f t="shared" si="205"/>
        <v>81.831133667011329</v>
      </c>
      <c r="V70" s="16">
        <f t="shared" si="206"/>
        <v>76.877983235760283</v>
      </c>
      <c r="W70" s="16">
        <f t="shared" si="207"/>
        <v>73.20689030136262</v>
      </c>
      <c r="X70" s="16">
        <f t="shared" si="208"/>
        <v>70.762203217829253</v>
      </c>
      <c r="Y70" s="16">
        <f t="shared" si="209"/>
        <v>69.476965524833687</v>
      </c>
      <c r="Z70" s="16">
        <f t="shared" si="210"/>
        <v>69.274246568514641</v>
      </c>
      <c r="AA70" s="16">
        <f t="shared" si="211"/>
        <v>70.068397679613867</v>
      </c>
      <c r="AB70" s="16">
        <f t="shared" si="212"/>
        <v>71.76622002509913</v>
      </c>
      <c r="AC70" s="16">
        <f t="shared" si="213"/>
        <v>74.268040586317326</v>
      </c>
      <c r="AD70" s="16">
        <f t="shared" si="214"/>
        <v>77.46870078750554</v>
      </c>
      <c r="AE70" s="16">
        <f t="shared" si="215"/>
        <v>81.258467845358425</v>
      </c>
      <c r="AF70" s="16">
        <f t="shared" si="216"/>
        <v>85.523881987496267</v>
      </c>
      <c r="AG70" s="16">
        <f t="shared" si="217"/>
        <v>90.148553619712885</v>
      </c>
      <c r="AH70" s="16">
        <f t="shared" si="218"/>
        <v>95.01392383558678</v>
      </c>
      <c r="AI70" s="15">
        <v>100</v>
      </c>
      <c r="AK70" s="1"/>
      <c r="AL70" s="20">
        <f t="shared" si="219"/>
        <v>-1076400000</v>
      </c>
      <c r="AM70" s="17">
        <f t="shared" si="189"/>
        <v>-1004606819.9194959</v>
      </c>
      <c r="AN70" s="17">
        <f t="shared" si="189"/>
        <v>-933453241.2374388</v>
      </c>
      <c r="AO70" s="17">
        <f t="shared" si="189"/>
        <v>-863566624.20789027</v>
      </c>
      <c r="AP70" s="17">
        <f t="shared" si="189"/>
        <v>-795550278.76915729</v>
      </c>
      <c r="AQ70" s="17">
        <f t="shared" si="189"/>
        <v>-729972493.59031868</v>
      </c>
      <c r="AR70" s="17">
        <f t="shared" si="189"/>
        <v>-667356760.18026662</v>
      </c>
      <c r="AS70" s="17">
        <f t="shared" si="189"/>
        <v>-608173479.74753606</v>
      </c>
      <c r="AT70" s="17">
        <f t="shared" si="189"/>
        <v>-552833356.9924376</v>
      </c>
      <c r="AU70" s="17">
        <f t="shared" si="189"/>
        <v>-501682593.54549563</v>
      </c>
      <c r="AV70" s="17">
        <f t="shared" si="189"/>
        <v>-454999901.12491399</v>
      </c>
      <c r="AW70" s="17">
        <f t="shared" si="189"/>
        <v>-412995267.24792516</v>
      </c>
      <c r="AX70" s="17">
        <f t="shared" si="189"/>
        <v>-375810330.29815692</v>
      </c>
      <c r="AY70" s="17">
        <f t="shared" si="189"/>
        <v>-343520160.48037732</v>
      </c>
      <c r="AZ70" s="17">
        <f t="shared" si="189"/>
        <v>-316136201.66679054</v>
      </c>
      <c r="BA70" s="17">
        <f t="shared" si="189"/>
        <v>-293610107.59723657</v>
      </c>
      <c r="BB70" s="17">
        <f t="shared" si="189"/>
        <v>-275838203.84990782</v>
      </c>
      <c r="BC70" s="17">
        <f t="shared" si="189"/>
        <v>-262666322.40128902</v>
      </c>
      <c r="BD70" s="17">
        <f t="shared" si="189"/>
        <v>-253894785.14557132</v>
      </c>
      <c r="BE70" s="17">
        <f t="shared" si="189"/>
        <v>-249283352.30310321</v>
      </c>
      <c r="BF70" s="17">
        <f t="shared" si="189"/>
        <v>-248555996.68783054</v>
      </c>
      <c r="BG70" s="17">
        <f t="shared" si="189"/>
        <v>-251405410.87445444</v>
      </c>
      <c r="BH70" s="17">
        <f t="shared" si="189"/>
        <v>-257497197.45005557</v>
      </c>
      <c r="BI70" s="17">
        <f t="shared" si="189"/>
        <v>-266473729.62370652</v>
      </c>
      <c r="BJ70" s="17">
        <f t="shared" si="189"/>
        <v>-277957698.42556983</v>
      </c>
      <c r="BK70" s="17">
        <f t="shared" si="189"/>
        <v>-291555382.62914598</v>
      </c>
      <c r="BL70" s="17">
        <f t="shared" si="189"/>
        <v>-306859688.57113653</v>
      </c>
      <c r="BM70" s="17">
        <f t="shared" si="189"/>
        <v>-323453010.38752973</v>
      </c>
      <c r="BN70" s="17">
        <f t="shared" si="189"/>
        <v>-340909958.7220853</v>
      </c>
      <c r="BO70" s="20">
        <f t="shared" si="189"/>
        <v>-358800000</v>
      </c>
      <c r="BQ70" s="1"/>
      <c r="BR70" s="20">
        <f t="shared" si="190"/>
        <v>0.3948481563801402</v>
      </c>
      <c r="BS70" s="17">
        <f t="shared" si="130"/>
        <v>0.3948481563801402</v>
      </c>
      <c r="BT70" s="17">
        <f t="shared" si="130"/>
        <v>0.3948481563801402</v>
      </c>
      <c r="BU70" s="17">
        <f t="shared" si="130"/>
        <v>0.3948481563801402</v>
      </c>
      <c r="BV70" s="17">
        <f t="shared" si="130"/>
        <v>0.3948481563801402</v>
      </c>
      <c r="BW70" s="17">
        <f t="shared" si="130"/>
        <v>0.3948481563801402</v>
      </c>
      <c r="BX70" s="17">
        <f t="shared" si="130"/>
        <v>0.3948481563801402</v>
      </c>
      <c r="BY70" s="17">
        <f t="shared" si="130"/>
        <v>0.3948481563801402</v>
      </c>
      <c r="BZ70" s="17">
        <f t="shared" si="130"/>
        <v>0.3948481563801402</v>
      </c>
      <c r="CA70" s="17">
        <f t="shared" si="130"/>
        <v>0.3948481563801402</v>
      </c>
      <c r="CB70" s="17">
        <f t="shared" si="130"/>
        <v>0.3948481563801402</v>
      </c>
      <c r="CC70" s="17">
        <f t="shared" si="130"/>
        <v>0.3948481563801402</v>
      </c>
      <c r="CD70" s="17">
        <f t="shared" si="130"/>
        <v>0.3948481563801402</v>
      </c>
      <c r="CE70" s="17">
        <f t="shared" si="130"/>
        <v>0.3948481563801402</v>
      </c>
      <c r="CF70" s="17">
        <f t="shared" si="130"/>
        <v>0.3948481563801402</v>
      </c>
      <c r="CG70" s="17">
        <f t="shared" si="130"/>
        <v>0.3948481563801402</v>
      </c>
      <c r="CH70" s="17">
        <f t="shared" si="130"/>
        <v>0.3948481563801402</v>
      </c>
      <c r="CI70" s="17">
        <f t="shared" si="130"/>
        <v>0.3948481563801402</v>
      </c>
      <c r="CJ70" s="17">
        <f t="shared" si="130"/>
        <v>0.3948481563801402</v>
      </c>
      <c r="CK70" s="17">
        <f t="shared" si="130"/>
        <v>0.3948481563801402</v>
      </c>
      <c r="CL70" s="17">
        <f t="shared" si="130"/>
        <v>0.3948481563801402</v>
      </c>
      <c r="CM70" s="17">
        <f t="shared" si="130"/>
        <v>0.3948481563801402</v>
      </c>
      <c r="CN70" s="17">
        <f t="shared" si="130"/>
        <v>0.3948481563801402</v>
      </c>
      <c r="CO70" s="17">
        <f t="shared" si="130"/>
        <v>0.3948481563801402</v>
      </c>
      <c r="CP70" s="17">
        <f t="shared" si="130"/>
        <v>0.3948481563801402</v>
      </c>
      <c r="CQ70" s="17">
        <f t="shared" si="130"/>
        <v>0.3948481563801402</v>
      </c>
      <c r="CR70" s="17">
        <f t="shared" si="130"/>
        <v>0.3948481563801402</v>
      </c>
      <c r="CS70" s="17">
        <f t="shared" si="130"/>
        <v>0.3948481563801402</v>
      </c>
      <c r="CT70" s="17">
        <f t="shared" si="130"/>
        <v>0.3948481563801402</v>
      </c>
      <c r="CU70" s="20">
        <f t="shared" si="130"/>
        <v>0.3948481563801402</v>
      </c>
      <c r="CW70" s="1"/>
      <c r="CX70" s="20">
        <f t="shared" si="131"/>
        <v>181.54555308595795</v>
      </c>
      <c r="CY70" s="17">
        <f t="shared" si="132"/>
        <v>169.43692006336886</v>
      </c>
      <c r="CZ70" s="17">
        <f t="shared" si="133"/>
        <v>157.43616217050439</v>
      </c>
      <c r="DA70" s="17">
        <f t="shared" si="134"/>
        <v>145.64908994648368</v>
      </c>
      <c r="DB70" s="17">
        <f t="shared" si="135"/>
        <v>134.17745760575502</v>
      </c>
      <c r="DC70" s="17">
        <f t="shared" si="136"/>
        <v>123.11711267780593</v>
      </c>
      <c r="DD70" s="17">
        <f t="shared" si="137"/>
        <v>112.55634720603817</v>
      </c>
      <c r="DE70" s="17">
        <f t="shared" si="138"/>
        <v>102.57449902729289</v>
      </c>
      <c r="DF70" s="17">
        <f t="shared" si="139"/>
        <v>93.240837569266915</v>
      </c>
      <c r="DG70" s="17">
        <f t="shared" si="140"/>
        <v>84.613753176156479</v>
      </c>
      <c r="DH70" s="17">
        <f t="shared" si="141"/>
        <v>76.740253347992095</v>
      </c>
      <c r="DI70" s="17">
        <f t="shared" si="142"/>
        <v>69.655754565596041</v>
      </c>
      <c r="DJ70" s="17">
        <f t="shared" si="143"/>
        <v>63.384145549419763</v>
      </c>
      <c r="DK70" s="17">
        <f t="shared" si="144"/>
        <v>57.938087635253751</v>
      </c>
      <c r="DL70" s="17">
        <f t="shared" si="145"/>
        <v>53.319510945830011</v>
      </c>
      <c r="DM70" s="17">
        <f t="shared" si="146"/>
        <v>49.520261404095073</v>
      </c>
      <c r="DN70" s="17">
        <f t="shared" si="147"/>
        <v>46.522853288896997</v>
      </c>
      <c r="DO70" s="17">
        <f t="shared" si="148"/>
        <v>44.301284631546409</v>
      </c>
      <c r="DP70" s="17">
        <f t="shared" si="149"/>
        <v>42.821877735872533</v>
      </c>
      <c r="DQ70" s="17">
        <f t="shared" si="150"/>
        <v>42.044113776466538</v>
      </c>
      <c r="DR70" s="17">
        <f t="shared" si="151"/>
        <v>41.921438026313375</v>
      </c>
      <c r="DS70" s="17">
        <f t="shared" si="152"/>
        <v>42.402020035307821</v>
      </c>
      <c r="DT70" s="17">
        <f t="shared" si="153"/>
        <v>43.429460357817227</v>
      </c>
      <c r="DU70" s="17">
        <f t="shared" si="154"/>
        <v>44.943441682844494</v>
      </c>
      <c r="DV70" s="17">
        <f t="shared" si="155"/>
        <v>46.880327104394254</v>
      </c>
      <c r="DW70" s="17">
        <f t="shared" si="156"/>
        <v>49.173711626343739</v>
      </c>
      <c r="DX70" s="17">
        <f t="shared" si="157"/>
        <v>51.754934858260683</v>
      </c>
      <c r="DY70" s="17">
        <f t="shared" si="158"/>
        <v>54.553563422633033</v>
      </c>
      <c r="DZ70" s="17">
        <f t="shared" si="159"/>
        <v>57.49785117866228</v>
      </c>
      <c r="EA70" s="20">
        <f t="shared" si="160"/>
        <v>60.515184361985995</v>
      </c>
    </row>
    <row r="71" spans="5:131" x14ac:dyDescent="0.25">
      <c r="E71" s="1"/>
      <c r="F71" s="15">
        <v>300</v>
      </c>
      <c r="G71" s="16">
        <f t="shared" si="191"/>
        <v>279.99075248592419</v>
      </c>
      <c r="H71" s="16">
        <f t="shared" si="192"/>
        <v>260.15976623117012</v>
      </c>
      <c r="I71" s="16">
        <f t="shared" si="193"/>
        <v>240.68189080487463</v>
      </c>
      <c r="J71" s="16">
        <f t="shared" si="194"/>
        <v>221.72527278962022</v>
      </c>
      <c r="K71" s="16">
        <f t="shared" si="195"/>
        <v>203.44829810209552</v>
      </c>
      <c r="L71" s="16">
        <f t="shared" si="196"/>
        <v>185.99686738580448</v>
      </c>
      <c r="M71" s="16">
        <f t="shared" si="197"/>
        <v>169.50208465650388</v>
      </c>
      <c r="N71" s="16">
        <f t="shared" si="198"/>
        <v>154.0784161071453</v>
      </c>
      <c r="O71" s="16">
        <f t="shared" si="199"/>
        <v>139.82235048648147</v>
      </c>
      <c r="P71" s="16">
        <f t="shared" si="200"/>
        <v>126.81156664573967</v>
      </c>
      <c r="Q71" s="16">
        <f t="shared" si="201"/>
        <v>115.10458953398137</v>
      </c>
      <c r="R71" s="16">
        <f t="shared" si="202"/>
        <v>104.74089473192777</v>
      </c>
      <c r="S71" s="16">
        <f t="shared" si="203"/>
        <v>95.741404816158663</v>
      </c>
      <c r="T71" s="16">
        <f t="shared" si="204"/>
        <v>88.109309271680743</v>
      </c>
      <c r="U71" s="16">
        <f t="shared" si="205"/>
        <v>81.831133667011301</v>
      </c>
      <c r="V71" s="16">
        <f t="shared" si="206"/>
        <v>76.877983235760254</v>
      </c>
      <c r="W71" s="16">
        <f t="shared" si="207"/>
        <v>73.206890301362591</v>
      </c>
      <c r="X71" s="16">
        <f t="shared" si="208"/>
        <v>70.76220321782921</v>
      </c>
      <c r="Y71" s="16">
        <f t="shared" si="209"/>
        <v>69.476965524833673</v>
      </c>
      <c r="Z71" s="16">
        <f t="shared" si="210"/>
        <v>69.274246568514627</v>
      </c>
      <c r="AA71" s="16">
        <f t="shared" si="211"/>
        <v>70.068397679613838</v>
      </c>
      <c r="AB71" s="16">
        <f t="shared" si="212"/>
        <v>71.766220025099102</v>
      </c>
      <c r="AC71" s="16">
        <f t="shared" si="213"/>
        <v>74.268040586317298</v>
      </c>
      <c r="AD71" s="16">
        <f t="shared" si="214"/>
        <v>77.468700787505526</v>
      </c>
      <c r="AE71" s="16">
        <f t="shared" si="215"/>
        <v>81.25846784535841</v>
      </c>
      <c r="AF71" s="16">
        <f t="shared" si="216"/>
        <v>85.523881987496253</v>
      </c>
      <c r="AG71" s="16">
        <f t="shared" si="217"/>
        <v>90.148553619712871</v>
      </c>
      <c r="AH71" s="16">
        <f t="shared" si="218"/>
        <v>95.013923835586766</v>
      </c>
      <c r="AI71" s="15">
        <v>100</v>
      </c>
      <c r="AK71" s="1"/>
      <c r="AL71" s="20">
        <f t="shared" si="219"/>
        <v>-1076400000</v>
      </c>
      <c r="AM71" s="17">
        <f t="shared" si="189"/>
        <v>-1004606819.9194959</v>
      </c>
      <c r="AN71" s="17">
        <f t="shared" si="189"/>
        <v>-933453241.23743844</v>
      </c>
      <c r="AO71" s="17">
        <f t="shared" si="189"/>
        <v>-863566624.20789015</v>
      </c>
      <c r="AP71" s="17">
        <f t="shared" si="189"/>
        <v>-795550278.76915729</v>
      </c>
      <c r="AQ71" s="17">
        <f t="shared" si="189"/>
        <v>-729972493.59031868</v>
      </c>
      <c r="AR71" s="17">
        <f t="shared" si="189"/>
        <v>-667356760.18026638</v>
      </c>
      <c r="AS71" s="17">
        <f t="shared" si="189"/>
        <v>-608173479.74753582</v>
      </c>
      <c r="AT71" s="17">
        <f t="shared" si="189"/>
        <v>-552833356.99243736</v>
      </c>
      <c r="AU71" s="17">
        <f t="shared" si="189"/>
        <v>-501682593.54549551</v>
      </c>
      <c r="AV71" s="17">
        <f t="shared" si="189"/>
        <v>-454999901.12491393</v>
      </c>
      <c r="AW71" s="17">
        <f t="shared" si="189"/>
        <v>-412995267.24792504</v>
      </c>
      <c r="AX71" s="17">
        <f t="shared" si="189"/>
        <v>-375810330.29815686</v>
      </c>
      <c r="AY71" s="17">
        <f t="shared" si="189"/>
        <v>-343520160.48037726</v>
      </c>
      <c r="AZ71" s="17">
        <f t="shared" si="189"/>
        <v>-316136201.66679049</v>
      </c>
      <c r="BA71" s="17">
        <f t="shared" si="189"/>
        <v>-293610107.59723657</v>
      </c>
      <c r="BB71" s="17">
        <f t="shared" si="189"/>
        <v>-275838203.84990782</v>
      </c>
      <c r="BC71" s="17">
        <f t="shared" si="189"/>
        <v>-262666322.40128893</v>
      </c>
      <c r="BD71" s="17">
        <f t="shared" si="189"/>
        <v>-253894785.1455712</v>
      </c>
      <c r="BE71" s="17">
        <f t="shared" si="189"/>
        <v>-249283352.30310318</v>
      </c>
      <c r="BF71" s="17">
        <f t="shared" si="189"/>
        <v>-248555996.68783048</v>
      </c>
      <c r="BG71" s="17">
        <f t="shared" si="189"/>
        <v>-251405410.87445444</v>
      </c>
      <c r="BH71" s="17">
        <f t="shared" si="189"/>
        <v>-257497197.45005554</v>
      </c>
      <c r="BI71" s="17">
        <f t="shared" si="189"/>
        <v>-266473729.62370646</v>
      </c>
      <c r="BJ71" s="17">
        <f t="shared" si="189"/>
        <v>-277957698.42556977</v>
      </c>
      <c r="BK71" s="17">
        <f t="shared" si="189"/>
        <v>-291555382.62914592</v>
      </c>
      <c r="BL71" s="17">
        <f t="shared" si="189"/>
        <v>-306859688.57113653</v>
      </c>
      <c r="BM71" s="17">
        <f t="shared" si="189"/>
        <v>-323453010.38752973</v>
      </c>
      <c r="BN71" s="17">
        <f t="shared" si="189"/>
        <v>-340909958.72208524</v>
      </c>
      <c r="BO71" s="20">
        <f t="shared" si="189"/>
        <v>-358800000</v>
      </c>
      <c r="BQ71" s="1"/>
      <c r="BR71" s="20">
        <f t="shared" si="190"/>
        <v>0.3948481563801402</v>
      </c>
      <c r="BS71" s="17">
        <f t="shared" si="130"/>
        <v>0.3948481563801402</v>
      </c>
      <c r="BT71" s="17">
        <f t="shared" si="130"/>
        <v>0.3948481563801402</v>
      </c>
      <c r="BU71" s="17">
        <f t="shared" si="130"/>
        <v>0.3948481563801402</v>
      </c>
      <c r="BV71" s="17">
        <f t="shared" si="130"/>
        <v>0.3948481563801402</v>
      </c>
      <c r="BW71" s="17">
        <f t="shared" si="130"/>
        <v>0.3948481563801402</v>
      </c>
      <c r="BX71" s="17">
        <f t="shared" si="130"/>
        <v>0.3948481563801402</v>
      </c>
      <c r="BY71" s="17">
        <f t="shared" si="130"/>
        <v>0.3948481563801402</v>
      </c>
      <c r="BZ71" s="17">
        <f t="shared" si="130"/>
        <v>0.3948481563801402</v>
      </c>
      <c r="CA71" s="17">
        <f t="shared" si="130"/>
        <v>0.3948481563801402</v>
      </c>
      <c r="CB71" s="17">
        <f t="shared" si="130"/>
        <v>0.3948481563801402</v>
      </c>
      <c r="CC71" s="17">
        <f t="shared" si="130"/>
        <v>0.3948481563801402</v>
      </c>
      <c r="CD71" s="17">
        <f t="shared" si="130"/>
        <v>0.3948481563801402</v>
      </c>
      <c r="CE71" s="17">
        <f t="shared" si="130"/>
        <v>0.3948481563801402</v>
      </c>
      <c r="CF71" s="17">
        <f t="shared" si="130"/>
        <v>0.3948481563801402</v>
      </c>
      <c r="CG71" s="17">
        <f t="shared" si="130"/>
        <v>0.3948481563801402</v>
      </c>
      <c r="CH71" s="17">
        <f t="shared" si="130"/>
        <v>0.3948481563801402</v>
      </c>
      <c r="CI71" s="17">
        <f t="shared" si="130"/>
        <v>0.3948481563801402</v>
      </c>
      <c r="CJ71" s="17">
        <f t="shared" si="130"/>
        <v>0.3948481563801402</v>
      </c>
      <c r="CK71" s="17">
        <f t="shared" si="130"/>
        <v>0.3948481563801402</v>
      </c>
      <c r="CL71" s="17">
        <f t="shared" si="130"/>
        <v>0.3948481563801402</v>
      </c>
      <c r="CM71" s="17">
        <f t="shared" si="130"/>
        <v>0.3948481563801402</v>
      </c>
      <c r="CN71" s="17">
        <f t="shared" si="130"/>
        <v>0.3948481563801402</v>
      </c>
      <c r="CO71" s="17">
        <f t="shared" si="130"/>
        <v>0.3948481563801402</v>
      </c>
      <c r="CP71" s="17">
        <f t="shared" si="130"/>
        <v>0.3948481563801402</v>
      </c>
      <c r="CQ71" s="17">
        <f t="shared" si="130"/>
        <v>0.3948481563801402</v>
      </c>
      <c r="CR71" s="17">
        <f t="shared" si="130"/>
        <v>0.3948481563801402</v>
      </c>
      <c r="CS71" s="17">
        <f t="shared" si="130"/>
        <v>0.3948481563801402</v>
      </c>
      <c r="CT71" s="17">
        <f t="shared" si="130"/>
        <v>0.3948481563801402</v>
      </c>
      <c r="CU71" s="20">
        <f t="shared" si="130"/>
        <v>0.3948481563801402</v>
      </c>
      <c r="CW71" s="1"/>
      <c r="CX71" s="20">
        <f t="shared" si="131"/>
        <v>181.54555308595795</v>
      </c>
      <c r="CY71" s="17">
        <f t="shared" si="132"/>
        <v>169.43692006336886</v>
      </c>
      <c r="CZ71" s="17">
        <f t="shared" si="133"/>
        <v>157.43616217050433</v>
      </c>
      <c r="DA71" s="17">
        <f t="shared" si="134"/>
        <v>145.64908994648366</v>
      </c>
      <c r="DB71" s="17">
        <f t="shared" si="135"/>
        <v>134.177457605755</v>
      </c>
      <c r="DC71" s="17">
        <f t="shared" si="136"/>
        <v>123.11711267780592</v>
      </c>
      <c r="DD71" s="17">
        <f t="shared" si="137"/>
        <v>112.55634720603813</v>
      </c>
      <c r="DE71" s="17">
        <f t="shared" si="138"/>
        <v>102.57449902729284</v>
      </c>
      <c r="DF71" s="17">
        <f t="shared" si="139"/>
        <v>93.240837569266859</v>
      </c>
      <c r="DG71" s="17">
        <f t="shared" si="140"/>
        <v>84.61375317615645</v>
      </c>
      <c r="DH71" s="17">
        <f t="shared" si="141"/>
        <v>76.740253347992066</v>
      </c>
      <c r="DI71" s="17">
        <f t="shared" si="142"/>
        <v>69.655754565596027</v>
      </c>
      <c r="DJ71" s="17">
        <f t="shared" si="143"/>
        <v>63.384145549419742</v>
      </c>
      <c r="DK71" s="17">
        <f t="shared" si="144"/>
        <v>57.938087635253723</v>
      </c>
      <c r="DL71" s="17">
        <f t="shared" si="145"/>
        <v>53.319510945829997</v>
      </c>
      <c r="DM71" s="17">
        <f t="shared" si="146"/>
        <v>49.520261404095059</v>
      </c>
      <c r="DN71" s="17">
        <f t="shared" si="147"/>
        <v>46.522853288896982</v>
      </c>
      <c r="DO71" s="17">
        <f t="shared" si="148"/>
        <v>44.301284631546395</v>
      </c>
      <c r="DP71" s="17">
        <f t="shared" si="149"/>
        <v>42.821877735872512</v>
      </c>
      <c r="DQ71" s="17">
        <f t="shared" si="150"/>
        <v>42.044113776466524</v>
      </c>
      <c r="DR71" s="17">
        <f t="shared" si="151"/>
        <v>41.921438026313361</v>
      </c>
      <c r="DS71" s="17">
        <f t="shared" si="152"/>
        <v>42.402020035307814</v>
      </c>
      <c r="DT71" s="17">
        <f t="shared" si="153"/>
        <v>43.429460357817213</v>
      </c>
      <c r="DU71" s="17">
        <f t="shared" si="154"/>
        <v>44.94344168284448</v>
      </c>
      <c r="DV71" s="17">
        <f t="shared" si="155"/>
        <v>46.88032710439424</v>
      </c>
      <c r="DW71" s="17">
        <f t="shared" si="156"/>
        <v>49.173711626343731</v>
      </c>
      <c r="DX71" s="17">
        <f t="shared" si="157"/>
        <v>51.754934858260668</v>
      </c>
      <c r="DY71" s="17">
        <f t="shared" si="158"/>
        <v>54.553563422633026</v>
      </c>
      <c r="DZ71" s="17">
        <f t="shared" si="159"/>
        <v>57.497851178662266</v>
      </c>
      <c r="EA71" s="20">
        <f t="shared" si="160"/>
        <v>60.515184361985995</v>
      </c>
    </row>
    <row r="72" spans="5:131" x14ac:dyDescent="0.25">
      <c r="E72" s="1"/>
      <c r="F72" s="15">
        <v>300</v>
      </c>
      <c r="G72" s="16">
        <f t="shared" si="191"/>
        <v>279.99075248592413</v>
      </c>
      <c r="H72" s="16">
        <f t="shared" si="192"/>
        <v>260.15976623117012</v>
      </c>
      <c r="I72" s="16">
        <f t="shared" si="193"/>
        <v>240.68189080487457</v>
      </c>
      <c r="J72" s="16">
        <f t="shared" si="194"/>
        <v>221.72527278962013</v>
      </c>
      <c r="K72" s="16">
        <f t="shared" si="195"/>
        <v>203.44829810209546</v>
      </c>
      <c r="L72" s="16">
        <f t="shared" si="196"/>
        <v>185.99686738580439</v>
      </c>
      <c r="M72" s="16">
        <f t="shared" si="197"/>
        <v>169.5020846565038</v>
      </c>
      <c r="N72" s="16">
        <f t="shared" si="198"/>
        <v>154.07841610714522</v>
      </c>
      <c r="O72" s="16">
        <f t="shared" si="199"/>
        <v>139.82235048648141</v>
      </c>
      <c r="P72" s="16">
        <f t="shared" si="200"/>
        <v>126.81156664573963</v>
      </c>
      <c r="Q72" s="16">
        <f t="shared" si="201"/>
        <v>115.10458953398131</v>
      </c>
      <c r="R72" s="16">
        <f t="shared" si="202"/>
        <v>104.74089473192772</v>
      </c>
      <c r="S72" s="16">
        <f t="shared" si="203"/>
        <v>95.741404816158621</v>
      </c>
      <c r="T72" s="16">
        <f t="shared" si="204"/>
        <v>88.109309271680701</v>
      </c>
      <c r="U72" s="16">
        <f t="shared" si="205"/>
        <v>81.831133667011272</v>
      </c>
      <c r="V72" s="16">
        <f t="shared" si="206"/>
        <v>76.877983235760226</v>
      </c>
      <c r="W72" s="16">
        <f t="shared" si="207"/>
        <v>73.206890301362549</v>
      </c>
      <c r="X72" s="16">
        <f t="shared" si="208"/>
        <v>70.762203217829182</v>
      </c>
      <c r="Y72" s="16">
        <f t="shared" si="209"/>
        <v>69.476965524833645</v>
      </c>
      <c r="Z72" s="16">
        <f t="shared" si="210"/>
        <v>69.274246568514599</v>
      </c>
      <c r="AA72" s="16">
        <f t="shared" si="211"/>
        <v>70.06839767961381</v>
      </c>
      <c r="AB72" s="16">
        <f t="shared" si="212"/>
        <v>71.766220025099074</v>
      </c>
      <c r="AC72" s="16">
        <f t="shared" si="213"/>
        <v>74.268040586317284</v>
      </c>
      <c r="AD72" s="16">
        <f t="shared" si="214"/>
        <v>77.468700787505497</v>
      </c>
      <c r="AE72" s="16">
        <f t="shared" si="215"/>
        <v>81.258467845358382</v>
      </c>
      <c r="AF72" s="16">
        <f t="shared" si="216"/>
        <v>85.523881987496225</v>
      </c>
      <c r="AG72" s="16">
        <f t="shared" si="217"/>
        <v>90.148553619712857</v>
      </c>
      <c r="AH72" s="16">
        <f t="shared" si="218"/>
        <v>95.013923835586752</v>
      </c>
      <c r="AI72" s="15">
        <v>100</v>
      </c>
      <c r="AK72" s="1"/>
      <c r="AL72" s="20">
        <f t="shared" si="219"/>
        <v>-1076400000</v>
      </c>
      <c r="AM72" s="17">
        <f t="shared" si="189"/>
        <v>-1004606819.9194958</v>
      </c>
      <c r="AN72" s="17">
        <f t="shared" si="189"/>
        <v>-933453241.23743844</v>
      </c>
      <c r="AO72" s="17">
        <f t="shared" si="189"/>
        <v>-863566624.20788991</v>
      </c>
      <c r="AP72" s="17">
        <f t="shared" si="189"/>
        <v>-795550278.76915705</v>
      </c>
      <c r="AQ72" s="17">
        <f t="shared" si="189"/>
        <v>-729972493.59031844</v>
      </c>
      <c r="AR72" s="17">
        <f t="shared" si="189"/>
        <v>-667356760.18026602</v>
      </c>
      <c r="AS72" s="17">
        <f t="shared" si="189"/>
        <v>-608173479.74753547</v>
      </c>
      <c r="AT72" s="17">
        <f t="shared" si="189"/>
        <v>-552833356.99243689</v>
      </c>
      <c r="AU72" s="17">
        <f t="shared" si="189"/>
        <v>-501682593.54549521</v>
      </c>
      <c r="AV72" s="17">
        <f t="shared" si="189"/>
        <v>-454999901.12491375</v>
      </c>
      <c r="AW72" s="17">
        <f t="shared" si="189"/>
        <v>-412995267.24792486</v>
      </c>
      <c r="AX72" s="17">
        <f t="shared" si="189"/>
        <v>-375810330.29815662</v>
      </c>
      <c r="AY72" s="17">
        <f t="shared" si="189"/>
        <v>-343520160.48037702</v>
      </c>
      <c r="AZ72" s="17">
        <f t="shared" si="189"/>
        <v>-316136201.66679031</v>
      </c>
      <c r="BA72" s="17">
        <f t="shared" si="189"/>
        <v>-293610107.59723639</v>
      </c>
      <c r="BB72" s="17">
        <f t="shared" si="189"/>
        <v>-275838203.84990764</v>
      </c>
      <c r="BC72" s="17">
        <f t="shared" si="189"/>
        <v>-262666322.40128878</v>
      </c>
      <c r="BD72" s="17">
        <f t="shared" si="189"/>
        <v>-253894785.14557111</v>
      </c>
      <c r="BE72" s="17">
        <f t="shared" si="189"/>
        <v>-249283352.30310306</v>
      </c>
      <c r="BF72" s="17">
        <f t="shared" si="189"/>
        <v>-248555996.68783039</v>
      </c>
      <c r="BG72" s="17">
        <f t="shared" si="189"/>
        <v>-251405410.87445429</v>
      </c>
      <c r="BH72" s="17">
        <f t="shared" si="189"/>
        <v>-257497197.45005542</v>
      </c>
      <c r="BI72" s="17">
        <f t="shared" si="189"/>
        <v>-266473729.6237064</v>
      </c>
      <c r="BJ72" s="17">
        <f t="shared" si="189"/>
        <v>-277957698.42556965</v>
      </c>
      <c r="BK72" s="17">
        <f t="shared" si="189"/>
        <v>-291555382.6291458</v>
      </c>
      <c r="BL72" s="17">
        <f t="shared" si="189"/>
        <v>-306859688.57113642</v>
      </c>
      <c r="BM72" s="17">
        <f t="shared" si="189"/>
        <v>-323453010.38752967</v>
      </c>
      <c r="BN72" s="17">
        <f t="shared" si="189"/>
        <v>-340909958.72208524</v>
      </c>
      <c r="BO72" s="20">
        <f t="shared" si="189"/>
        <v>-358800000</v>
      </c>
      <c r="BQ72" s="1"/>
      <c r="BR72" s="20">
        <f t="shared" si="190"/>
        <v>0.3948481563801402</v>
      </c>
      <c r="BS72" s="17">
        <f t="shared" si="130"/>
        <v>0.3948481563801402</v>
      </c>
      <c r="BT72" s="17">
        <f t="shared" si="130"/>
        <v>0.3948481563801402</v>
      </c>
      <c r="BU72" s="17">
        <f t="shared" si="130"/>
        <v>0.3948481563801402</v>
      </c>
      <c r="BV72" s="17">
        <f t="shared" si="130"/>
        <v>0.3948481563801402</v>
      </c>
      <c r="BW72" s="17">
        <f t="shared" si="130"/>
        <v>0.3948481563801402</v>
      </c>
      <c r="BX72" s="17">
        <f t="shared" si="130"/>
        <v>0.3948481563801402</v>
      </c>
      <c r="BY72" s="17">
        <f t="shared" si="130"/>
        <v>0.3948481563801402</v>
      </c>
      <c r="BZ72" s="17">
        <f t="shared" si="130"/>
        <v>0.3948481563801402</v>
      </c>
      <c r="CA72" s="17">
        <f t="shared" si="130"/>
        <v>0.3948481563801402</v>
      </c>
      <c r="CB72" s="17">
        <f t="shared" si="130"/>
        <v>0.3948481563801402</v>
      </c>
      <c r="CC72" s="17">
        <f t="shared" si="130"/>
        <v>0.3948481563801402</v>
      </c>
      <c r="CD72" s="17">
        <f t="shared" si="130"/>
        <v>0.3948481563801402</v>
      </c>
      <c r="CE72" s="17">
        <f t="shared" si="130"/>
        <v>0.3948481563801402</v>
      </c>
      <c r="CF72" s="17">
        <f t="shared" si="130"/>
        <v>0.3948481563801402</v>
      </c>
      <c r="CG72" s="17">
        <f t="shared" si="130"/>
        <v>0.3948481563801402</v>
      </c>
      <c r="CH72" s="17">
        <f t="shared" si="130"/>
        <v>0.3948481563801402</v>
      </c>
      <c r="CI72" s="17">
        <f t="shared" si="130"/>
        <v>0.3948481563801402</v>
      </c>
      <c r="CJ72" s="17">
        <f t="shared" si="130"/>
        <v>0.3948481563801402</v>
      </c>
      <c r="CK72" s="17">
        <f t="shared" si="130"/>
        <v>0.3948481563801402</v>
      </c>
      <c r="CL72" s="17">
        <f t="shared" si="130"/>
        <v>0.3948481563801402</v>
      </c>
      <c r="CM72" s="17">
        <f t="shared" si="130"/>
        <v>0.3948481563801402</v>
      </c>
      <c r="CN72" s="17">
        <f t="shared" si="130"/>
        <v>0.3948481563801402</v>
      </c>
      <c r="CO72" s="17">
        <f t="shared" si="130"/>
        <v>0.3948481563801402</v>
      </c>
      <c r="CP72" s="17">
        <f t="shared" ref="CP72:CP92" si="220">$C$20/($C$21-($C$22*CP73))</f>
        <v>0.3948481563801402</v>
      </c>
      <c r="CQ72" s="17">
        <f t="shared" ref="CQ72:CQ92" si="221">$C$20/($C$21-($C$22*CQ73))</f>
        <v>0.3948481563801402</v>
      </c>
      <c r="CR72" s="17">
        <f t="shared" ref="CR72:CR92" si="222">$C$20/($C$21-($C$22*CR73))</f>
        <v>0.3948481563801402</v>
      </c>
      <c r="CS72" s="17">
        <f t="shared" ref="CS72:CS92" si="223">$C$20/($C$21-($C$22*CS73))</f>
        <v>0.3948481563801402</v>
      </c>
      <c r="CT72" s="17">
        <f t="shared" ref="CT72:CT92" si="224">$C$20/($C$21-($C$22*CT73))</f>
        <v>0.3948481563801402</v>
      </c>
      <c r="CU72" s="20">
        <f t="shared" ref="CU72:CU92" si="225">$C$20/($C$21-($C$22*CU73))</f>
        <v>0.3948481563801402</v>
      </c>
      <c r="CW72" s="1"/>
      <c r="CX72" s="20">
        <f t="shared" si="131"/>
        <v>181.54555308595795</v>
      </c>
      <c r="CY72" s="17">
        <f t="shared" si="132"/>
        <v>169.43692006336883</v>
      </c>
      <c r="CZ72" s="17">
        <f t="shared" si="133"/>
        <v>157.43616217050433</v>
      </c>
      <c r="DA72" s="17">
        <f t="shared" si="134"/>
        <v>145.6490899464836</v>
      </c>
      <c r="DB72" s="17">
        <f t="shared" si="135"/>
        <v>134.17745760575494</v>
      </c>
      <c r="DC72" s="17">
        <f t="shared" si="136"/>
        <v>123.11711267780586</v>
      </c>
      <c r="DD72" s="17">
        <f t="shared" si="137"/>
        <v>112.55634720603807</v>
      </c>
      <c r="DE72" s="17">
        <f t="shared" si="138"/>
        <v>102.57449902729279</v>
      </c>
      <c r="DF72" s="17">
        <f t="shared" si="139"/>
        <v>93.240837569266802</v>
      </c>
      <c r="DG72" s="17">
        <f t="shared" si="140"/>
        <v>84.613753176156393</v>
      </c>
      <c r="DH72" s="17">
        <f t="shared" si="141"/>
        <v>76.740253347992038</v>
      </c>
      <c r="DI72" s="17">
        <f t="shared" si="142"/>
        <v>69.655754565595984</v>
      </c>
      <c r="DJ72" s="17">
        <f t="shared" si="143"/>
        <v>63.384145549419706</v>
      </c>
      <c r="DK72" s="17">
        <f t="shared" si="144"/>
        <v>57.938087635253687</v>
      </c>
      <c r="DL72" s="17">
        <f t="shared" si="145"/>
        <v>53.319510945829968</v>
      </c>
      <c r="DM72" s="17">
        <f t="shared" si="146"/>
        <v>49.520261404095031</v>
      </c>
      <c r="DN72" s="17">
        <f t="shared" si="147"/>
        <v>46.522853288896961</v>
      </c>
      <c r="DO72" s="17">
        <f t="shared" si="148"/>
        <v>44.301284631546366</v>
      </c>
      <c r="DP72" s="17">
        <f t="shared" si="149"/>
        <v>42.821877735872498</v>
      </c>
      <c r="DQ72" s="17">
        <f t="shared" si="150"/>
        <v>42.044113776466503</v>
      </c>
      <c r="DR72" s="17">
        <f t="shared" si="151"/>
        <v>41.921438026313346</v>
      </c>
      <c r="DS72" s="17">
        <f t="shared" si="152"/>
        <v>42.402020035307793</v>
      </c>
      <c r="DT72" s="17">
        <f t="shared" si="153"/>
        <v>43.429460357817192</v>
      </c>
      <c r="DU72" s="17">
        <f t="shared" si="154"/>
        <v>44.943441682844472</v>
      </c>
      <c r="DV72" s="17">
        <f t="shared" si="155"/>
        <v>46.880327104394219</v>
      </c>
      <c r="DW72" s="17">
        <f t="shared" si="156"/>
        <v>49.173711626343703</v>
      </c>
      <c r="DX72" s="17">
        <f t="shared" si="157"/>
        <v>51.754934858260647</v>
      </c>
      <c r="DY72" s="17">
        <f t="shared" si="158"/>
        <v>54.553563422633012</v>
      </c>
      <c r="DZ72" s="17">
        <f t="shared" si="159"/>
        <v>57.497851178662259</v>
      </c>
      <c r="EA72" s="20">
        <f t="shared" si="160"/>
        <v>60.51518436198598</v>
      </c>
    </row>
    <row r="73" spans="5:131" x14ac:dyDescent="0.25">
      <c r="E73" s="1"/>
      <c r="F73" s="15">
        <v>300</v>
      </c>
      <c r="G73" s="16">
        <f t="shared" si="191"/>
        <v>279.99075248592408</v>
      </c>
      <c r="H73" s="16">
        <f t="shared" si="192"/>
        <v>260.15976623117001</v>
      </c>
      <c r="I73" s="16">
        <f t="shared" si="193"/>
        <v>240.68189080487446</v>
      </c>
      <c r="J73" s="16">
        <f t="shared" si="194"/>
        <v>221.72527278962008</v>
      </c>
      <c r="K73" s="16">
        <f t="shared" si="195"/>
        <v>203.44829810209535</v>
      </c>
      <c r="L73" s="16">
        <f t="shared" si="196"/>
        <v>185.99686738580431</v>
      </c>
      <c r="M73" s="16">
        <f t="shared" si="197"/>
        <v>169.50208465650371</v>
      </c>
      <c r="N73" s="16">
        <f t="shared" si="198"/>
        <v>154.07841610714516</v>
      </c>
      <c r="O73" s="16">
        <f t="shared" si="199"/>
        <v>139.82235048648133</v>
      </c>
      <c r="P73" s="16">
        <f t="shared" si="200"/>
        <v>126.81156664573956</v>
      </c>
      <c r="Q73" s="16">
        <f t="shared" si="201"/>
        <v>115.10458953398125</v>
      </c>
      <c r="R73" s="16">
        <f t="shared" si="202"/>
        <v>104.74089473192768</v>
      </c>
      <c r="S73" s="16">
        <f t="shared" si="203"/>
        <v>95.741404816158564</v>
      </c>
      <c r="T73" s="16">
        <f t="shared" si="204"/>
        <v>88.109309271680644</v>
      </c>
      <c r="U73" s="16">
        <f t="shared" si="205"/>
        <v>81.831133667011215</v>
      </c>
      <c r="V73" s="16">
        <f t="shared" si="206"/>
        <v>76.877983235760183</v>
      </c>
      <c r="W73" s="16">
        <f t="shared" si="207"/>
        <v>73.206890301362506</v>
      </c>
      <c r="X73" s="16">
        <f t="shared" si="208"/>
        <v>70.762203217829153</v>
      </c>
      <c r="Y73" s="16">
        <f t="shared" si="209"/>
        <v>69.476965524833602</v>
      </c>
      <c r="Z73" s="16">
        <f t="shared" si="210"/>
        <v>69.274246568514556</v>
      </c>
      <c r="AA73" s="16">
        <f t="shared" si="211"/>
        <v>70.068397679613781</v>
      </c>
      <c r="AB73" s="16">
        <f t="shared" si="212"/>
        <v>71.766220025099045</v>
      </c>
      <c r="AC73" s="16">
        <f t="shared" si="213"/>
        <v>74.268040586317255</v>
      </c>
      <c r="AD73" s="16">
        <f t="shared" si="214"/>
        <v>77.468700787505469</v>
      </c>
      <c r="AE73" s="16">
        <f t="shared" si="215"/>
        <v>81.258467845358354</v>
      </c>
      <c r="AF73" s="16">
        <f t="shared" si="216"/>
        <v>85.523881987496196</v>
      </c>
      <c r="AG73" s="16">
        <f t="shared" si="217"/>
        <v>90.148553619712828</v>
      </c>
      <c r="AH73" s="16">
        <f t="shared" si="218"/>
        <v>95.013923835586723</v>
      </c>
      <c r="AI73" s="15">
        <v>100</v>
      </c>
      <c r="AK73" s="1"/>
      <c r="AL73" s="20">
        <f t="shared" si="219"/>
        <v>-1076400000</v>
      </c>
      <c r="AM73" s="17">
        <f t="shared" si="189"/>
        <v>-1004606819.9194956</v>
      </c>
      <c r="AN73" s="17">
        <f t="shared" si="189"/>
        <v>-933453241.23743796</v>
      </c>
      <c r="AO73" s="17">
        <f t="shared" si="189"/>
        <v>-863566624.20788956</v>
      </c>
      <c r="AP73" s="17">
        <f t="shared" si="189"/>
        <v>-795550278.76915669</v>
      </c>
      <c r="AQ73" s="17">
        <f t="shared" si="189"/>
        <v>-729972493.59031808</v>
      </c>
      <c r="AR73" s="17">
        <f t="shared" si="189"/>
        <v>-667356760.1802659</v>
      </c>
      <c r="AS73" s="17">
        <f t="shared" si="189"/>
        <v>-608173479.74753523</v>
      </c>
      <c r="AT73" s="17">
        <f t="shared" si="189"/>
        <v>-552833356.99243677</v>
      </c>
      <c r="AU73" s="17">
        <f t="shared" si="189"/>
        <v>-501682593.54549497</v>
      </c>
      <c r="AV73" s="17">
        <f t="shared" si="189"/>
        <v>-454999901.12491351</v>
      </c>
      <c r="AW73" s="17">
        <f t="shared" si="189"/>
        <v>-412995267.24792463</v>
      </c>
      <c r="AX73" s="17">
        <f t="shared" si="189"/>
        <v>-375810330.29815644</v>
      </c>
      <c r="AY73" s="17">
        <f t="shared" si="189"/>
        <v>-343520160.48037684</v>
      </c>
      <c r="AZ73" s="17">
        <f t="shared" si="189"/>
        <v>-316136201.66679013</v>
      </c>
      <c r="BA73" s="17">
        <f t="shared" si="189"/>
        <v>-293610107.59723622</v>
      </c>
      <c r="BB73" s="17">
        <f t="shared" si="189"/>
        <v>-275838203.84990752</v>
      </c>
      <c r="BC73" s="17">
        <f t="shared" si="189"/>
        <v>-262666322.40128866</v>
      </c>
      <c r="BD73" s="17">
        <f t="shared" si="189"/>
        <v>-253894785.14557099</v>
      </c>
      <c r="BE73" s="17">
        <f t="shared" si="189"/>
        <v>-249283352.30310291</v>
      </c>
      <c r="BF73" s="17">
        <f t="shared" si="189"/>
        <v>-248555996.68783024</v>
      </c>
      <c r="BG73" s="17">
        <f t="shared" si="189"/>
        <v>-251405410.8744542</v>
      </c>
      <c r="BH73" s="17">
        <f t="shared" si="189"/>
        <v>-257497197.45005533</v>
      </c>
      <c r="BI73" s="17">
        <f t="shared" si="189"/>
        <v>-266473729.62370625</v>
      </c>
      <c r="BJ73" s="17">
        <f t="shared" ref="BJ73:BJ93" si="226">-($C$10*$C$9*AD42)/$C$7</f>
        <v>-277957698.42556959</v>
      </c>
      <c r="BK73" s="17">
        <f t="shared" ref="BK73:BK93" si="227">-($C$10*$C$9*AE42)/$C$7</f>
        <v>-291555382.62914574</v>
      </c>
      <c r="BL73" s="17">
        <f t="shared" ref="BL73:BL93" si="228">-($C$10*$C$9*AF42)/$C$7</f>
        <v>-306859688.5711363</v>
      </c>
      <c r="BM73" s="17">
        <f t="shared" ref="BM73:BM93" si="229">-($C$10*$C$9*AG42)/$C$7</f>
        <v>-323453010.38752955</v>
      </c>
      <c r="BN73" s="17">
        <f t="shared" ref="BN73:BN93" si="230">-($C$10*$C$9*AH42)/$C$7</f>
        <v>-340909958.72208518</v>
      </c>
      <c r="BO73" s="20">
        <f t="shared" ref="BO73:BO93" si="231">-($C$10*$C$9*AI42)/$C$7</f>
        <v>-358800000</v>
      </c>
      <c r="BQ73" s="1"/>
      <c r="BR73" s="20">
        <f t="shared" si="190"/>
        <v>0.3948481563801402</v>
      </c>
      <c r="BS73" s="17">
        <f t="shared" ref="BS73:BS92" si="232">$C$20/($C$21-($C$22*BS74))</f>
        <v>0.3948481563801402</v>
      </c>
      <c r="BT73" s="17">
        <f t="shared" ref="BT73:BT92" si="233">$C$20/($C$21-($C$22*BT74))</f>
        <v>0.3948481563801402</v>
      </c>
      <c r="BU73" s="17">
        <f t="shared" ref="BU73:BU92" si="234">$C$20/($C$21-($C$22*BU74))</f>
        <v>0.3948481563801402</v>
      </c>
      <c r="BV73" s="17">
        <f t="shared" ref="BV73:BV92" si="235">$C$20/($C$21-($C$22*BV74))</f>
        <v>0.3948481563801402</v>
      </c>
      <c r="BW73" s="17">
        <f t="shared" ref="BW73:BW92" si="236">$C$20/($C$21-($C$22*BW74))</f>
        <v>0.3948481563801402</v>
      </c>
      <c r="BX73" s="17">
        <f t="shared" ref="BX73:BX92" si="237">$C$20/($C$21-($C$22*BX74))</f>
        <v>0.3948481563801402</v>
      </c>
      <c r="BY73" s="17">
        <f t="shared" ref="BY73:BY92" si="238">$C$20/($C$21-($C$22*BY74))</f>
        <v>0.3948481563801402</v>
      </c>
      <c r="BZ73" s="17">
        <f t="shared" ref="BZ73:BZ92" si="239">$C$20/($C$21-($C$22*BZ74))</f>
        <v>0.3948481563801402</v>
      </c>
      <c r="CA73" s="17">
        <f t="shared" ref="CA73:CA92" si="240">$C$20/($C$21-($C$22*CA74))</f>
        <v>0.3948481563801402</v>
      </c>
      <c r="CB73" s="17">
        <f t="shared" ref="CB73:CB92" si="241">$C$20/($C$21-($C$22*CB74))</f>
        <v>0.3948481563801402</v>
      </c>
      <c r="CC73" s="17">
        <f t="shared" ref="CC73:CC92" si="242">$C$20/($C$21-($C$22*CC74))</f>
        <v>0.3948481563801402</v>
      </c>
      <c r="CD73" s="17">
        <f t="shared" ref="CD73:CD92" si="243">$C$20/($C$21-($C$22*CD74))</f>
        <v>0.3948481563801402</v>
      </c>
      <c r="CE73" s="17">
        <f t="shared" ref="CE73:CE92" si="244">$C$20/($C$21-($C$22*CE74))</f>
        <v>0.3948481563801402</v>
      </c>
      <c r="CF73" s="17">
        <f t="shared" ref="CF73:CF92" si="245">$C$20/($C$21-($C$22*CF74))</f>
        <v>0.3948481563801402</v>
      </c>
      <c r="CG73" s="17">
        <f t="shared" ref="CG73:CG92" si="246">$C$20/($C$21-($C$22*CG74))</f>
        <v>0.3948481563801402</v>
      </c>
      <c r="CH73" s="17">
        <f t="shared" ref="CH73:CH92" si="247">$C$20/($C$21-($C$22*CH74))</f>
        <v>0.3948481563801402</v>
      </c>
      <c r="CI73" s="17">
        <f t="shared" ref="CI73:CI92" si="248">$C$20/($C$21-($C$22*CI74))</f>
        <v>0.3948481563801402</v>
      </c>
      <c r="CJ73" s="17">
        <f t="shared" ref="CJ73:CJ92" si="249">$C$20/($C$21-($C$22*CJ74))</f>
        <v>0.3948481563801402</v>
      </c>
      <c r="CK73" s="17">
        <f t="shared" ref="CK73:CK92" si="250">$C$20/($C$21-($C$22*CK74))</f>
        <v>0.3948481563801402</v>
      </c>
      <c r="CL73" s="17">
        <f t="shared" ref="CL73:CL92" si="251">$C$20/($C$21-($C$22*CL74))</f>
        <v>0.3948481563801402</v>
      </c>
      <c r="CM73" s="17">
        <f t="shared" ref="CM73:CM92" si="252">$C$20/($C$21-($C$22*CM74))</f>
        <v>0.3948481563801402</v>
      </c>
      <c r="CN73" s="17">
        <f t="shared" ref="CN73:CN92" si="253">$C$20/($C$21-($C$22*CN74))</f>
        <v>0.3948481563801402</v>
      </c>
      <c r="CO73" s="17">
        <f t="shared" ref="CO73:CO92" si="254">$C$20/($C$21-($C$22*CO74))</f>
        <v>0.3948481563801402</v>
      </c>
      <c r="CP73" s="17">
        <f t="shared" si="220"/>
        <v>0.3948481563801402</v>
      </c>
      <c r="CQ73" s="17">
        <f t="shared" si="221"/>
        <v>0.3948481563801402</v>
      </c>
      <c r="CR73" s="17">
        <f t="shared" si="222"/>
        <v>0.3948481563801402</v>
      </c>
      <c r="CS73" s="17">
        <f t="shared" si="223"/>
        <v>0.3948481563801402</v>
      </c>
      <c r="CT73" s="17">
        <f t="shared" si="224"/>
        <v>0.3948481563801402</v>
      </c>
      <c r="CU73" s="20">
        <f t="shared" si="225"/>
        <v>0.3948481563801402</v>
      </c>
      <c r="CW73" s="1"/>
      <c r="CX73" s="20">
        <f t="shared" si="131"/>
        <v>181.54555308595792</v>
      </c>
      <c r="CY73" s="17">
        <f t="shared" si="132"/>
        <v>169.43692006336877</v>
      </c>
      <c r="CZ73" s="17">
        <f t="shared" si="133"/>
        <v>157.43616217050425</v>
      </c>
      <c r="DA73" s="17">
        <f t="shared" si="134"/>
        <v>145.64908994648351</v>
      </c>
      <c r="DB73" s="17">
        <f t="shared" si="135"/>
        <v>134.17745760575488</v>
      </c>
      <c r="DC73" s="17">
        <f t="shared" si="136"/>
        <v>123.11711267780579</v>
      </c>
      <c r="DD73" s="17">
        <f t="shared" si="137"/>
        <v>112.55634720603803</v>
      </c>
      <c r="DE73" s="17">
        <f t="shared" si="138"/>
        <v>102.57449902729273</v>
      </c>
      <c r="DF73" s="17">
        <f t="shared" si="139"/>
        <v>93.240837569266773</v>
      </c>
      <c r="DG73" s="17">
        <f t="shared" si="140"/>
        <v>84.613753176156351</v>
      </c>
      <c r="DH73" s="17">
        <f t="shared" si="141"/>
        <v>76.740253347991995</v>
      </c>
      <c r="DI73" s="17">
        <f t="shared" si="142"/>
        <v>69.655754565595956</v>
      </c>
      <c r="DJ73" s="17">
        <f t="shared" si="143"/>
        <v>63.384145549419671</v>
      </c>
      <c r="DK73" s="17">
        <f t="shared" si="144"/>
        <v>57.938087635253652</v>
      </c>
      <c r="DL73" s="17">
        <f t="shared" si="145"/>
        <v>53.319510945829926</v>
      </c>
      <c r="DM73" s="17">
        <f t="shared" si="146"/>
        <v>49.520261404095002</v>
      </c>
      <c r="DN73" s="17">
        <f t="shared" si="147"/>
        <v>46.522853288896933</v>
      </c>
      <c r="DO73" s="17">
        <f t="shared" si="148"/>
        <v>44.301284631546338</v>
      </c>
      <c r="DP73" s="17">
        <f t="shared" si="149"/>
        <v>42.821877735872469</v>
      </c>
      <c r="DQ73" s="17">
        <f t="shared" si="150"/>
        <v>42.044113776466482</v>
      </c>
      <c r="DR73" s="17">
        <f t="shared" si="151"/>
        <v>41.921438026313318</v>
      </c>
      <c r="DS73" s="17">
        <f t="shared" si="152"/>
        <v>42.402020035307771</v>
      </c>
      <c r="DT73" s="17">
        <f t="shared" si="153"/>
        <v>43.42946035781717</v>
      </c>
      <c r="DU73" s="17">
        <f t="shared" si="154"/>
        <v>44.943441682844444</v>
      </c>
      <c r="DV73" s="17">
        <f t="shared" si="155"/>
        <v>46.880327104394205</v>
      </c>
      <c r="DW73" s="17">
        <f t="shared" si="156"/>
        <v>49.173711626343689</v>
      </c>
      <c r="DX73" s="17">
        <f t="shared" si="157"/>
        <v>51.754934858260626</v>
      </c>
      <c r="DY73" s="17">
        <f t="shared" si="158"/>
        <v>54.55356342263299</v>
      </c>
      <c r="DZ73" s="17">
        <f t="shared" si="159"/>
        <v>57.497851178662245</v>
      </c>
      <c r="EA73" s="20">
        <f t="shared" si="160"/>
        <v>60.515184361985973</v>
      </c>
    </row>
    <row r="74" spans="5:131" x14ac:dyDescent="0.25">
      <c r="E74" s="1"/>
      <c r="F74" s="15">
        <v>300</v>
      </c>
      <c r="G74" s="16">
        <f t="shared" si="191"/>
        <v>279.99075248592408</v>
      </c>
      <c r="H74" s="16">
        <f t="shared" si="192"/>
        <v>260.15976623117001</v>
      </c>
      <c r="I74" s="16">
        <f t="shared" si="193"/>
        <v>240.68189080487446</v>
      </c>
      <c r="J74" s="16">
        <f t="shared" si="194"/>
        <v>221.72527278962002</v>
      </c>
      <c r="K74" s="16">
        <f t="shared" si="195"/>
        <v>203.44829810209535</v>
      </c>
      <c r="L74" s="16">
        <f t="shared" si="196"/>
        <v>185.99686738580428</v>
      </c>
      <c r="M74" s="16">
        <f t="shared" si="197"/>
        <v>169.50208465650368</v>
      </c>
      <c r="N74" s="16">
        <f t="shared" si="198"/>
        <v>154.07841610714513</v>
      </c>
      <c r="O74" s="16">
        <f t="shared" si="199"/>
        <v>139.8223504864813</v>
      </c>
      <c r="P74" s="16">
        <f t="shared" si="200"/>
        <v>126.81156664573953</v>
      </c>
      <c r="Q74" s="16">
        <f t="shared" si="201"/>
        <v>115.10458953398123</v>
      </c>
      <c r="R74" s="16">
        <f t="shared" si="202"/>
        <v>104.74089473192765</v>
      </c>
      <c r="S74" s="16">
        <f t="shared" si="203"/>
        <v>95.741404816158536</v>
      </c>
      <c r="T74" s="16">
        <f t="shared" si="204"/>
        <v>88.10930927168063</v>
      </c>
      <c r="U74" s="16">
        <f t="shared" si="205"/>
        <v>81.831133667011201</v>
      </c>
      <c r="V74" s="16">
        <f t="shared" si="206"/>
        <v>76.877983235760169</v>
      </c>
      <c r="W74" s="16">
        <f t="shared" si="207"/>
        <v>73.206890301362478</v>
      </c>
      <c r="X74" s="16">
        <f t="shared" si="208"/>
        <v>70.762203217829125</v>
      </c>
      <c r="Y74" s="16">
        <f t="shared" si="209"/>
        <v>69.476965524833588</v>
      </c>
      <c r="Z74" s="16">
        <f t="shared" si="210"/>
        <v>69.274246568514542</v>
      </c>
      <c r="AA74" s="16">
        <f t="shared" si="211"/>
        <v>70.068397679613767</v>
      </c>
      <c r="AB74" s="16">
        <f t="shared" si="212"/>
        <v>71.766220025099031</v>
      </c>
      <c r="AC74" s="16">
        <f t="shared" si="213"/>
        <v>74.268040586317241</v>
      </c>
      <c r="AD74" s="16">
        <f t="shared" si="214"/>
        <v>77.468700787505455</v>
      </c>
      <c r="AE74" s="16">
        <f t="shared" si="215"/>
        <v>81.258467845358354</v>
      </c>
      <c r="AF74" s="16">
        <f t="shared" si="216"/>
        <v>85.523881987496196</v>
      </c>
      <c r="AG74" s="16">
        <f t="shared" si="217"/>
        <v>90.148553619712828</v>
      </c>
      <c r="AH74" s="16">
        <f t="shared" si="218"/>
        <v>95.013923835586723</v>
      </c>
      <c r="AI74" s="15">
        <v>100</v>
      </c>
      <c r="AK74" s="1"/>
      <c r="AL74" s="20">
        <f t="shared" si="219"/>
        <v>-1076400000</v>
      </c>
      <c r="AM74" s="17">
        <f t="shared" ref="AM74:AM93" si="255">-($C$10*$C$9*G43)/$C$7</f>
        <v>-1004606819.9194956</v>
      </c>
      <c r="AN74" s="17">
        <f t="shared" ref="AN74:AN93" si="256">-($C$10*$C$9*H43)/$C$7</f>
        <v>-933453241.23743796</v>
      </c>
      <c r="AO74" s="17">
        <f t="shared" ref="AO74:AO93" si="257">-($C$10*$C$9*I43)/$C$7</f>
        <v>-863566624.20788956</v>
      </c>
      <c r="AP74" s="17">
        <f t="shared" ref="AP74:AP93" si="258">-($C$10*$C$9*J43)/$C$7</f>
        <v>-795550278.76915669</v>
      </c>
      <c r="AQ74" s="17">
        <f t="shared" ref="AQ74:AQ93" si="259">-($C$10*$C$9*K43)/$C$7</f>
        <v>-729972493.59031796</v>
      </c>
      <c r="AR74" s="17">
        <f t="shared" ref="AR74:AR93" si="260">-($C$10*$C$9*L43)/$C$7</f>
        <v>-667356760.18026567</v>
      </c>
      <c r="AS74" s="17">
        <f t="shared" ref="AS74:AS93" si="261">-($C$10*$C$9*M43)/$C$7</f>
        <v>-608173479.74753511</v>
      </c>
      <c r="AT74" s="17">
        <f t="shared" ref="AT74:AT93" si="262">-($C$10*$C$9*N43)/$C$7</f>
        <v>-552833356.99243677</v>
      </c>
      <c r="AU74" s="17">
        <f t="shared" ref="AU74:AU93" si="263">-($C$10*$C$9*O43)/$C$7</f>
        <v>-501682593.54549491</v>
      </c>
      <c r="AV74" s="17">
        <f t="shared" ref="AV74:AV93" si="264">-($C$10*$C$9*P43)/$C$7</f>
        <v>-454999901.12491333</v>
      </c>
      <c r="AW74" s="17">
        <f t="shared" ref="AW74:AW93" si="265">-($C$10*$C$9*Q43)/$C$7</f>
        <v>-412995267.24792451</v>
      </c>
      <c r="AX74" s="17">
        <f t="shared" ref="AX74:AX93" si="266">-($C$10*$C$9*R43)/$C$7</f>
        <v>-375810330.29815632</v>
      </c>
      <c r="AY74" s="17">
        <f t="shared" ref="AY74:AY93" si="267">-($C$10*$C$9*S43)/$C$7</f>
        <v>-343520160.48037678</v>
      </c>
      <c r="AZ74" s="17">
        <f t="shared" ref="AZ74:AZ93" si="268">-($C$10*$C$9*T43)/$C$7</f>
        <v>-316136201.66679007</v>
      </c>
      <c r="BA74" s="17">
        <f t="shared" ref="BA74:BA93" si="269">-($C$10*$C$9*U43)/$C$7</f>
        <v>-293610107.59723616</v>
      </c>
      <c r="BB74" s="17">
        <f t="shared" ref="BB74:BB93" si="270">-($C$10*$C$9*V43)/$C$7</f>
        <v>-275838203.84990746</v>
      </c>
      <c r="BC74" s="17">
        <f t="shared" ref="BC74:BC93" si="271">-($C$10*$C$9*W43)/$C$7</f>
        <v>-262666322.40128857</v>
      </c>
      <c r="BD74" s="17">
        <f t="shared" ref="BD74:BD93" si="272">-($C$10*$C$9*X43)/$C$7</f>
        <v>-253894785.1455709</v>
      </c>
      <c r="BE74" s="17">
        <f t="shared" ref="BE74:BE93" si="273">-($C$10*$C$9*Y43)/$C$7</f>
        <v>-249283352.30310285</v>
      </c>
      <c r="BF74" s="17">
        <f t="shared" ref="BF74:BF93" si="274">-($C$10*$C$9*Z43)/$C$7</f>
        <v>-248555996.68783018</v>
      </c>
      <c r="BG74" s="17">
        <f t="shared" ref="BG74:BG93" si="275">-($C$10*$C$9*AA43)/$C$7</f>
        <v>-251405410.87445414</v>
      </c>
      <c r="BH74" s="17">
        <f t="shared" ref="BH74:BH93" si="276">-($C$10*$C$9*AB43)/$C$7</f>
        <v>-257497197.45005527</v>
      </c>
      <c r="BI74" s="17">
        <f t="shared" ref="BI74:BI93" si="277">-($C$10*$C$9*AC43)/$C$7</f>
        <v>-266473729.62370622</v>
      </c>
      <c r="BJ74" s="17">
        <f t="shared" si="226"/>
        <v>-277957698.42556953</v>
      </c>
      <c r="BK74" s="17">
        <f t="shared" si="227"/>
        <v>-291555382.62914574</v>
      </c>
      <c r="BL74" s="17">
        <f t="shared" si="228"/>
        <v>-306859688.5711363</v>
      </c>
      <c r="BM74" s="17">
        <f t="shared" si="229"/>
        <v>-323453010.38752955</v>
      </c>
      <c r="BN74" s="17">
        <f t="shared" si="230"/>
        <v>-340909958.72208518</v>
      </c>
      <c r="BO74" s="20">
        <f t="shared" si="231"/>
        <v>-358800000</v>
      </c>
      <c r="BQ74" s="1"/>
      <c r="BR74" s="20">
        <f t="shared" si="190"/>
        <v>0.39484815638014059</v>
      </c>
      <c r="BS74" s="17">
        <f t="shared" si="232"/>
        <v>0.39484815638014059</v>
      </c>
      <c r="BT74" s="17">
        <f t="shared" si="233"/>
        <v>0.39484815638014059</v>
      </c>
      <c r="BU74" s="17">
        <f t="shared" si="234"/>
        <v>0.39484815638014059</v>
      </c>
      <c r="BV74" s="17">
        <f t="shared" si="235"/>
        <v>0.39484815638014059</v>
      </c>
      <c r="BW74" s="17">
        <f t="shared" si="236"/>
        <v>0.39484815638014059</v>
      </c>
      <c r="BX74" s="17">
        <f t="shared" si="237"/>
        <v>0.39484815638014059</v>
      </c>
      <c r="BY74" s="17">
        <f t="shared" si="238"/>
        <v>0.39484815638014059</v>
      </c>
      <c r="BZ74" s="17">
        <f t="shared" si="239"/>
        <v>0.39484815638014059</v>
      </c>
      <c r="CA74" s="17">
        <f t="shared" si="240"/>
        <v>0.39484815638014059</v>
      </c>
      <c r="CB74" s="17">
        <f t="shared" si="241"/>
        <v>0.39484815638014059</v>
      </c>
      <c r="CC74" s="17">
        <f t="shared" si="242"/>
        <v>0.39484815638014059</v>
      </c>
      <c r="CD74" s="17">
        <f t="shared" si="243"/>
        <v>0.39484815638014059</v>
      </c>
      <c r="CE74" s="17">
        <f t="shared" si="244"/>
        <v>0.39484815638014059</v>
      </c>
      <c r="CF74" s="17">
        <f t="shared" si="245"/>
        <v>0.39484815638014059</v>
      </c>
      <c r="CG74" s="17">
        <f t="shared" si="246"/>
        <v>0.39484815638014059</v>
      </c>
      <c r="CH74" s="17">
        <f t="shared" si="247"/>
        <v>0.39484815638014059</v>
      </c>
      <c r="CI74" s="17">
        <f t="shared" si="248"/>
        <v>0.39484815638014059</v>
      </c>
      <c r="CJ74" s="17">
        <f t="shared" si="249"/>
        <v>0.39484815638014059</v>
      </c>
      <c r="CK74" s="17">
        <f t="shared" si="250"/>
        <v>0.39484815638014059</v>
      </c>
      <c r="CL74" s="17">
        <f t="shared" si="251"/>
        <v>0.39484815638014059</v>
      </c>
      <c r="CM74" s="17">
        <f t="shared" si="252"/>
        <v>0.39484815638014059</v>
      </c>
      <c r="CN74" s="17">
        <f t="shared" si="253"/>
        <v>0.39484815638014059</v>
      </c>
      <c r="CO74" s="17">
        <f t="shared" si="254"/>
        <v>0.39484815638014059</v>
      </c>
      <c r="CP74" s="17">
        <f t="shared" si="220"/>
        <v>0.39484815638014059</v>
      </c>
      <c r="CQ74" s="17">
        <f t="shared" si="221"/>
        <v>0.39484815638014059</v>
      </c>
      <c r="CR74" s="17">
        <f t="shared" si="222"/>
        <v>0.39484815638014059</v>
      </c>
      <c r="CS74" s="17">
        <f t="shared" si="223"/>
        <v>0.39484815638014059</v>
      </c>
      <c r="CT74" s="17">
        <f t="shared" si="224"/>
        <v>0.39484815638014059</v>
      </c>
      <c r="CU74" s="20">
        <f t="shared" si="225"/>
        <v>0.39484815638014059</v>
      </c>
      <c r="CW74" s="1"/>
      <c r="CX74" s="20">
        <f t="shared" si="131"/>
        <v>181.54555308595783</v>
      </c>
      <c r="CY74" s="17">
        <f t="shared" si="132"/>
        <v>169.43692006336872</v>
      </c>
      <c r="CZ74" s="17">
        <f t="shared" si="133"/>
        <v>157.43616217050419</v>
      </c>
      <c r="DA74" s="17">
        <f t="shared" si="134"/>
        <v>145.64908994648346</v>
      </c>
      <c r="DB74" s="17">
        <f t="shared" si="135"/>
        <v>134.1774576057548</v>
      </c>
      <c r="DC74" s="17">
        <f t="shared" si="136"/>
        <v>123.11711267780574</v>
      </c>
      <c r="DD74" s="17">
        <f t="shared" si="137"/>
        <v>112.55634720603796</v>
      </c>
      <c r="DE74" s="17">
        <f t="shared" si="138"/>
        <v>102.57449902729267</v>
      </c>
      <c r="DF74" s="17">
        <f t="shared" si="139"/>
        <v>93.240837569266716</v>
      </c>
      <c r="DG74" s="17">
        <f t="shared" si="140"/>
        <v>84.613753176156308</v>
      </c>
      <c r="DH74" s="17">
        <f t="shared" si="141"/>
        <v>76.740253347991938</v>
      </c>
      <c r="DI74" s="17">
        <f t="shared" si="142"/>
        <v>69.655754565595899</v>
      </c>
      <c r="DJ74" s="17">
        <f t="shared" si="143"/>
        <v>63.384145549419621</v>
      </c>
      <c r="DK74" s="17">
        <f t="shared" si="144"/>
        <v>57.938087635253609</v>
      </c>
      <c r="DL74" s="17">
        <f t="shared" si="145"/>
        <v>53.319510945829897</v>
      </c>
      <c r="DM74" s="17">
        <f t="shared" si="146"/>
        <v>49.520261404094967</v>
      </c>
      <c r="DN74" s="17">
        <f t="shared" si="147"/>
        <v>46.522853288896904</v>
      </c>
      <c r="DO74" s="17">
        <f t="shared" si="148"/>
        <v>44.301284631546302</v>
      </c>
      <c r="DP74" s="17">
        <f t="shared" si="149"/>
        <v>42.821877735872434</v>
      </c>
      <c r="DQ74" s="17">
        <f t="shared" si="150"/>
        <v>42.044113776466446</v>
      </c>
      <c r="DR74" s="17">
        <f t="shared" si="151"/>
        <v>41.92143802631329</v>
      </c>
      <c r="DS74" s="17">
        <f t="shared" si="152"/>
        <v>42.402020035307743</v>
      </c>
      <c r="DT74" s="17">
        <f t="shared" si="153"/>
        <v>43.429460357817149</v>
      </c>
      <c r="DU74" s="17">
        <f t="shared" si="154"/>
        <v>44.943441682844416</v>
      </c>
      <c r="DV74" s="17">
        <f t="shared" si="155"/>
        <v>46.880327104394176</v>
      </c>
      <c r="DW74" s="17">
        <f t="shared" si="156"/>
        <v>49.173711626343668</v>
      </c>
      <c r="DX74" s="17">
        <f t="shared" si="157"/>
        <v>51.754934858260604</v>
      </c>
      <c r="DY74" s="17">
        <f t="shared" si="158"/>
        <v>54.553563422632962</v>
      </c>
      <c r="DZ74" s="17">
        <f t="shared" si="159"/>
        <v>57.497851178662216</v>
      </c>
      <c r="EA74" s="20">
        <f t="shared" si="160"/>
        <v>60.515184361985952</v>
      </c>
    </row>
    <row r="75" spans="5:131" x14ac:dyDescent="0.25">
      <c r="E75" s="1"/>
      <c r="F75" s="15">
        <v>300</v>
      </c>
      <c r="G75" s="16">
        <f t="shared" si="191"/>
        <v>279.99075248592408</v>
      </c>
      <c r="H75" s="16">
        <f t="shared" si="192"/>
        <v>260.15976623117001</v>
      </c>
      <c r="I75" s="16">
        <f t="shared" si="193"/>
        <v>240.68189080487446</v>
      </c>
      <c r="J75" s="16">
        <f t="shared" si="194"/>
        <v>221.72527278962002</v>
      </c>
      <c r="K75" s="16">
        <f t="shared" si="195"/>
        <v>203.44829810209535</v>
      </c>
      <c r="L75" s="16">
        <f t="shared" si="196"/>
        <v>185.99686738580425</v>
      </c>
      <c r="M75" s="16">
        <f t="shared" si="197"/>
        <v>169.50208465650365</v>
      </c>
      <c r="N75" s="16">
        <f t="shared" si="198"/>
        <v>154.07841610714507</v>
      </c>
      <c r="O75" s="16">
        <f t="shared" si="199"/>
        <v>139.82235048648127</v>
      </c>
      <c r="P75" s="16">
        <f t="shared" si="200"/>
        <v>126.8115666457395</v>
      </c>
      <c r="Q75" s="16">
        <f t="shared" si="201"/>
        <v>115.10458953398118</v>
      </c>
      <c r="R75" s="16">
        <f t="shared" si="202"/>
        <v>104.74089473192763</v>
      </c>
      <c r="S75" s="16">
        <f t="shared" si="203"/>
        <v>95.741404816158493</v>
      </c>
      <c r="T75" s="16">
        <f t="shared" si="204"/>
        <v>88.109309271680601</v>
      </c>
      <c r="U75" s="16">
        <f t="shared" si="205"/>
        <v>81.831133667011173</v>
      </c>
      <c r="V75" s="16">
        <f t="shared" si="206"/>
        <v>76.877983235760141</v>
      </c>
      <c r="W75" s="16">
        <f t="shared" si="207"/>
        <v>73.206890301362463</v>
      </c>
      <c r="X75" s="16">
        <f t="shared" si="208"/>
        <v>70.762203217829097</v>
      </c>
      <c r="Y75" s="16">
        <f t="shared" si="209"/>
        <v>69.47696552483356</v>
      </c>
      <c r="Z75" s="16">
        <f t="shared" si="210"/>
        <v>69.274246568514513</v>
      </c>
      <c r="AA75" s="16">
        <f t="shared" si="211"/>
        <v>70.068397679613753</v>
      </c>
      <c r="AB75" s="16">
        <f t="shared" si="212"/>
        <v>71.766220025099017</v>
      </c>
      <c r="AC75" s="16">
        <f t="shared" si="213"/>
        <v>74.268040586317227</v>
      </c>
      <c r="AD75" s="16">
        <f t="shared" si="214"/>
        <v>77.468700787505441</v>
      </c>
      <c r="AE75" s="16">
        <f t="shared" si="215"/>
        <v>81.258467845358325</v>
      </c>
      <c r="AF75" s="16">
        <f t="shared" si="216"/>
        <v>85.523881987496182</v>
      </c>
      <c r="AG75" s="16">
        <f t="shared" si="217"/>
        <v>90.148553619712828</v>
      </c>
      <c r="AH75" s="16">
        <f t="shared" si="218"/>
        <v>95.013923835586723</v>
      </c>
      <c r="AI75" s="15">
        <v>100</v>
      </c>
      <c r="AK75" s="1"/>
      <c r="AL75" s="20">
        <f t="shared" si="219"/>
        <v>-1076400000</v>
      </c>
      <c r="AM75" s="17">
        <f t="shared" si="255"/>
        <v>-1004606819.9194956</v>
      </c>
      <c r="AN75" s="17">
        <f t="shared" si="256"/>
        <v>-933453241.23743796</v>
      </c>
      <c r="AO75" s="17">
        <f t="shared" si="257"/>
        <v>-863566624.20788956</v>
      </c>
      <c r="AP75" s="17">
        <f t="shared" si="258"/>
        <v>-795550278.76915669</v>
      </c>
      <c r="AQ75" s="17">
        <f t="shared" si="259"/>
        <v>-729972493.59031796</v>
      </c>
      <c r="AR75" s="17">
        <f t="shared" si="260"/>
        <v>-667356760.18026555</v>
      </c>
      <c r="AS75" s="17">
        <f t="shared" si="261"/>
        <v>-608173479.74753499</v>
      </c>
      <c r="AT75" s="17">
        <f t="shared" si="262"/>
        <v>-552833356.99243653</v>
      </c>
      <c r="AU75" s="17">
        <f t="shared" si="263"/>
        <v>-501682593.54549479</v>
      </c>
      <c r="AV75" s="17">
        <f t="shared" si="264"/>
        <v>-454999901.12491328</v>
      </c>
      <c r="AW75" s="17">
        <f t="shared" si="265"/>
        <v>-412995267.24792439</v>
      </c>
      <c r="AX75" s="17">
        <f t="shared" si="266"/>
        <v>-375810330.2981562</v>
      </c>
      <c r="AY75" s="17">
        <f t="shared" si="267"/>
        <v>-343520160.4803766</v>
      </c>
      <c r="AZ75" s="17">
        <f t="shared" si="268"/>
        <v>-316136201.66678995</v>
      </c>
      <c r="BA75" s="17">
        <f t="shared" si="269"/>
        <v>-293610107.59723604</v>
      </c>
      <c r="BB75" s="17">
        <f t="shared" si="270"/>
        <v>-275838203.84990734</v>
      </c>
      <c r="BC75" s="17">
        <f t="shared" si="271"/>
        <v>-262666322.40128851</v>
      </c>
      <c r="BD75" s="17">
        <f t="shared" si="272"/>
        <v>-253894785.14557078</v>
      </c>
      <c r="BE75" s="17">
        <f t="shared" si="273"/>
        <v>-249283352.30310276</v>
      </c>
      <c r="BF75" s="17">
        <f t="shared" si="274"/>
        <v>-248555996.68783006</v>
      </c>
      <c r="BG75" s="17">
        <f t="shared" si="275"/>
        <v>-251405410.87445405</v>
      </c>
      <c r="BH75" s="17">
        <f t="shared" si="276"/>
        <v>-257497197.45005521</v>
      </c>
      <c r="BI75" s="17">
        <f t="shared" si="277"/>
        <v>-266473729.62370622</v>
      </c>
      <c r="BJ75" s="17">
        <f t="shared" si="226"/>
        <v>-277957698.42556953</v>
      </c>
      <c r="BK75" s="17">
        <f t="shared" si="227"/>
        <v>-291555382.62914568</v>
      </c>
      <c r="BL75" s="17">
        <f t="shared" si="228"/>
        <v>-306859688.57113624</v>
      </c>
      <c r="BM75" s="17">
        <f t="shared" si="229"/>
        <v>-323453010.38752955</v>
      </c>
      <c r="BN75" s="17">
        <f t="shared" si="230"/>
        <v>-340909958.72208518</v>
      </c>
      <c r="BO75" s="20">
        <f t="shared" si="231"/>
        <v>-358800000</v>
      </c>
      <c r="BQ75" s="1"/>
      <c r="BR75" s="20">
        <f t="shared" si="190"/>
        <v>0.3948481563801427</v>
      </c>
      <c r="BS75" s="17">
        <f t="shared" si="232"/>
        <v>0.3948481563801427</v>
      </c>
      <c r="BT75" s="17">
        <f t="shared" si="233"/>
        <v>0.3948481563801427</v>
      </c>
      <c r="BU75" s="17">
        <f t="shared" si="234"/>
        <v>0.3948481563801427</v>
      </c>
      <c r="BV75" s="17">
        <f t="shared" si="235"/>
        <v>0.3948481563801427</v>
      </c>
      <c r="BW75" s="17">
        <f t="shared" si="236"/>
        <v>0.3948481563801427</v>
      </c>
      <c r="BX75" s="17">
        <f t="shared" si="237"/>
        <v>0.3948481563801427</v>
      </c>
      <c r="BY75" s="17">
        <f t="shared" si="238"/>
        <v>0.3948481563801427</v>
      </c>
      <c r="BZ75" s="17">
        <f t="shared" si="239"/>
        <v>0.3948481563801427</v>
      </c>
      <c r="CA75" s="17">
        <f t="shared" si="240"/>
        <v>0.3948481563801427</v>
      </c>
      <c r="CB75" s="17">
        <f t="shared" si="241"/>
        <v>0.3948481563801427</v>
      </c>
      <c r="CC75" s="17">
        <f t="shared" si="242"/>
        <v>0.3948481563801427</v>
      </c>
      <c r="CD75" s="17">
        <f t="shared" si="243"/>
        <v>0.3948481563801427</v>
      </c>
      <c r="CE75" s="17">
        <f t="shared" si="244"/>
        <v>0.3948481563801427</v>
      </c>
      <c r="CF75" s="17">
        <f t="shared" si="245"/>
        <v>0.3948481563801427</v>
      </c>
      <c r="CG75" s="17">
        <f t="shared" si="246"/>
        <v>0.3948481563801427</v>
      </c>
      <c r="CH75" s="17">
        <f t="shared" si="247"/>
        <v>0.3948481563801427</v>
      </c>
      <c r="CI75" s="17">
        <f t="shared" si="248"/>
        <v>0.3948481563801427</v>
      </c>
      <c r="CJ75" s="17">
        <f t="shared" si="249"/>
        <v>0.3948481563801427</v>
      </c>
      <c r="CK75" s="17">
        <f t="shared" si="250"/>
        <v>0.3948481563801427</v>
      </c>
      <c r="CL75" s="17">
        <f t="shared" si="251"/>
        <v>0.3948481563801427</v>
      </c>
      <c r="CM75" s="17">
        <f t="shared" si="252"/>
        <v>0.3948481563801427</v>
      </c>
      <c r="CN75" s="17">
        <f t="shared" si="253"/>
        <v>0.3948481563801427</v>
      </c>
      <c r="CO75" s="17">
        <f t="shared" si="254"/>
        <v>0.3948481563801427</v>
      </c>
      <c r="CP75" s="17">
        <f t="shared" si="220"/>
        <v>0.3948481563801427</v>
      </c>
      <c r="CQ75" s="17">
        <f t="shared" si="221"/>
        <v>0.3948481563801427</v>
      </c>
      <c r="CR75" s="17">
        <f t="shared" si="222"/>
        <v>0.3948481563801427</v>
      </c>
      <c r="CS75" s="17">
        <f t="shared" si="223"/>
        <v>0.3948481563801427</v>
      </c>
      <c r="CT75" s="17">
        <f t="shared" si="224"/>
        <v>0.3948481563801427</v>
      </c>
      <c r="CU75" s="20">
        <f t="shared" si="225"/>
        <v>0.3948481563801427</v>
      </c>
      <c r="CW75" s="1"/>
      <c r="CX75" s="20">
        <f t="shared" si="131"/>
        <v>181.54555308595721</v>
      </c>
      <c r="CY75" s="17">
        <f t="shared" si="132"/>
        <v>169.43692006336812</v>
      </c>
      <c r="CZ75" s="17">
        <f t="shared" si="133"/>
        <v>157.43616217050362</v>
      </c>
      <c r="DA75" s="17">
        <f t="shared" si="134"/>
        <v>145.64908994648295</v>
      </c>
      <c r="DB75" s="17">
        <f t="shared" si="135"/>
        <v>134.17745760575434</v>
      </c>
      <c r="DC75" s="17">
        <f t="shared" si="136"/>
        <v>123.1171126778053</v>
      </c>
      <c r="DD75" s="17">
        <f t="shared" si="137"/>
        <v>112.55634720603753</v>
      </c>
      <c r="DE75" s="17">
        <f t="shared" si="138"/>
        <v>102.57449902729229</v>
      </c>
      <c r="DF75" s="17">
        <f t="shared" si="139"/>
        <v>93.240837569266347</v>
      </c>
      <c r="DG75" s="17">
        <f t="shared" si="140"/>
        <v>84.613753176155981</v>
      </c>
      <c r="DH75" s="17">
        <f t="shared" si="141"/>
        <v>76.740253347991654</v>
      </c>
      <c r="DI75" s="17">
        <f t="shared" si="142"/>
        <v>69.655754565595629</v>
      </c>
      <c r="DJ75" s="17">
        <f t="shared" si="143"/>
        <v>63.384145549419387</v>
      </c>
      <c r="DK75" s="17">
        <f t="shared" si="144"/>
        <v>57.938087635253382</v>
      </c>
      <c r="DL75" s="17">
        <f t="shared" si="145"/>
        <v>53.319510945829691</v>
      </c>
      <c r="DM75" s="17">
        <f t="shared" si="146"/>
        <v>49.520261404094775</v>
      </c>
      <c r="DN75" s="17">
        <f t="shared" si="147"/>
        <v>46.522853288896719</v>
      </c>
      <c r="DO75" s="17">
        <f t="shared" si="148"/>
        <v>44.301284631546139</v>
      </c>
      <c r="DP75" s="17">
        <f t="shared" si="149"/>
        <v>42.82187773587227</v>
      </c>
      <c r="DQ75" s="17">
        <f t="shared" si="150"/>
        <v>42.04411377646629</v>
      </c>
      <c r="DR75" s="17">
        <f t="shared" si="151"/>
        <v>41.921438026313126</v>
      </c>
      <c r="DS75" s="17">
        <f t="shared" si="152"/>
        <v>42.402020035307586</v>
      </c>
      <c r="DT75" s="17">
        <f t="shared" si="153"/>
        <v>43.429460357816986</v>
      </c>
      <c r="DU75" s="17">
        <f t="shared" si="154"/>
        <v>44.943441682844252</v>
      </c>
      <c r="DV75" s="17">
        <f t="shared" si="155"/>
        <v>46.880327104394006</v>
      </c>
      <c r="DW75" s="17">
        <f t="shared" si="156"/>
        <v>49.173711626343483</v>
      </c>
      <c r="DX75" s="17">
        <f t="shared" si="157"/>
        <v>51.754934858260413</v>
      </c>
      <c r="DY75" s="17">
        <f t="shared" si="158"/>
        <v>54.55356342263277</v>
      </c>
      <c r="DZ75" s="17">
        <f t="shared" si="159"/>
        <v>57.49785117866201</v>
      </c>
      <c r="EA75" s="20">
        <f t="shared" si="160"/>
        <v>60.515184361985739</v>
      </c>
    </row>
    <row r="76" spans="5:131" x14ac:dyDescent="0.25">
      <c r="E76" s="1"/>
      <c r="F76" s="15">
        <v>300</v>
      </c>
      <c r="G76" s="16">
        <f t="shared" si="191"/>
        <v>279.99075248592408</v>
      </c>
      <c r="H76" s="16">
        <f t="shared" si="192"/>
        <v>260.15976623117001</v>
      </c>
      <c r="I76" s="16">
        <f t="shared" si="193"/>
        <v>240.68189080487443</v>
      </c>
      <c r="J76" s="16">
        <f t="shared" si="194"/>
        <v>221.72527278961996</v>
      </c>
      <c r="K76" s="16">
        <f t="shared" si="195"/>
        <v>203.44829810209529</v>
      </c>
      <c r="L76" s="16">
        <f t="shared" si="196"/>
        <v>185.99686738580422</v>
      </c>
      <c r="M76" s="16">
        <f t="shared" si="197"/>
        <v>169.5020846565036</v>
      </c>
      <c r="N76" s="16">
        <f t="shared" si="198"/>
        <v>154.07841610714505</v>
      </c>
      <c r="O76" s="16">
        <f t="shared" si="199"/>
        <v>139.82235048648124</v>
      </c>
      <c r="P76" s="16">
        <f t="shared" si="200"/>
        <v>126.81156664573945</v>
      </c>
      <c r="Q76" s="16">
        <f t="shared" si="201"/>
        <v>115.10458953398114</v>
      </c>
      <c r="R76" s="16">
        <f t="shared" si="202"/>
        <v>104.7408947319276</v>
      </c>
      <c r="S76" s="16">
        <f t="shared" si="203"/>
        <v>95.741404816158479</v>
      </c>
      <c r="T76" s="16">
        <f t="shared" si="204"/>
        <v>88.109309271680573</v>
      </c>
      <c r="U76" s="16">
        <f t="shared" si="205"/>
        <v>81.831133667011144</v>
      </c>
      <c r="V76" s="16">
        <f t="shared" si="206"/>
        <v>76.877983235760112</v>
      </c>
      <c r="W76" s="16">
        <f t="shared" si="207"/>
        <v>73.206890301362449</v>
      </c>
      <c r="X76" s="16">
        <f t="shared" si="208"/>
        <v>70.762203217829082</v>
      </c>
      <c r="Y76" s="16">
        <f t="shared" si="209"/>
        <v>69.476965524833531</v>
      </c>
      <c r="Z76" s="16">
        <f t="shared" si="210"/>
        <v>69.274246568514499</v>
      </c>
      <c r="AA76" s="16">
        <f t="shared" si="211"/>
        <v>70.068397679613724</v>
      </c>
      <c r="AB76" s="16">
        <f t="shared" si="212"/>
        <v>71.766220025099003</v>
      </c>
      <c r="AC76" s="16">
        <f t="shared" si="213"/>
        <v>74.268040586317198</v>
      </c>
      <c r="AD76" s="16">
        <f t="shared" si="214"/>
        <v>77.468700787505412</v>
      </c>
      <c r="AE76" s="16">
        <f t="shared" si="215"/>
        <v>81.258467845358311</v>
      </c>
      <c r="AF76" s="16">
        <f t="shared" si="216"/>
        <v>85.523881987496168</v>
      </c>
      <c r="AG76" s="16">
        <f t="shared" si="217"/>
        <v>90.148553619712814</v>
      </c>
      <c r="AH76" s="16">
        <f t="shared" si="218"/>
        <v>95.013923835586723</v>
      </c>
      <c r="AI76" s="15">
        <v>100</v>
      </c>
      <c r="AK76" s="1"/>
      <c r="AL76" s="20">
        <f t="shared" si="219"/>
        <v>-1076400000</v>
      </c>
      <c r="AM76" s="17">
        <f t="shared" si="255"/>
        <v>-1004606819.9194956</v>
      </c>
      <c r="AN76" s="17">
        <f t="shared" si="256"/>
        <v>-933453241.23743796</v>
      </c>
      <c r="AO76" s="17">
        <f t="shared" si="257"/>
        <v>-863566624.20788932</v>
      </c>
      <c r="AP76" s="17">
        <f t="shared" si="258"/>
        <v>-795550278.76915634</v>
      </c>
      <c r="AQ76" s="17">
        <f t="shared" si="259"/>
        <v>-729972493.59031773</v>
      </c>
      <c r="AR76" s="17">
        <f t="shared" si="260"/>
        <v>-667356760.18026543</v>
      </c>
      <c r="AS76" s="17">
        <f t="shared" si="261"/>
        <v>-608173479.74753487</v>
      </c>
      <c r="AT76" s="17">
        <f t="shared" si="262"/>
        <v>-552833356.99243641</v>
      </c>
      <c r="AU76" s="17">
        <f t="shared" si="263"/>
        <v>-501682593.54549468</v>
      </c>
      <c r="AV76" s="17">
        <f t="shared" si="264"/>
        <v>-454999901.12491316</v>
      </c>
      <c r="AW76" s="17">
        <f t="shared" si="265"/>
        <v>-412995267.24792433</v>
      </c>
      <c r="AX76" s="17">
        <f t="shared" si="266"/>
        <v>-375810330.2981562</v>
      </c>
      <c r="AY76" s="17">
        <f t="shared" si="267"/>
        <v>-343520160.4803766</v>
      </c>
      <c r="AZ76" s="17">
        <f t="shared" si="268"/>
        <v>-316136201.66678983</v>
      </c>
      <c r="BA76" s="17">
        <f t="shared" si="269"/>
        <v>-293610107.59723598</v>
      </c>
      <c r="BB76" s="17">
        <f t="shared" si="270"/>
        <v>-275838203.84990728</v>
      </c>
      <c r="BC76" s="17">
        <f t="shared" si="271"/>
        <v>-262666322.40128848</v>
      </c>
      <c r="BD76" s="17">
        <f t="shared" si="272"/>
        <v>-253894785.14557076</v>
      </c>
      <c r="BE76" s="17">
        <f t="shared" si="273"/>
        <v>-249283352.3031027</v>
      </c>
      <c r="BF76" s="17">
        <f t="shared" si="274"/>
        <v>-248555996.68783003</v>
      </c>
      <c r="BG76" s="17">
        <f t="shared" si="275"/>
        <v>-251405410.87445405</v>
      </c>
      <c r="BH76" s="17">
        <f t="shared" si="276"/>
        <v>-257497197.45005518</v>
      </c>
      <c r="BI76" s="17">
        <f t="shared" si="277"/>
        <v>-266473729.6237061</v>
      </c>
      <c r="BJ76" s="17">
        <f t="shared" si="226"/>
        <v>-277957698.42556942</v>
      </c>
      <c r="BK76" s="17">
        <f t="shared" si="227"/>
        <v>-291555382.62914562</v>
      </c>
      <c r="BL76" s="17">
        <f t="shared" si="228"/>
        <v>-306859688.57113624</v>
      </c>
      <c r="BM76" s="17">
        <f t="shared" si="229"/>
        <v>-323453010.38752955</v>
      </c>
      <c r="BN76" s="17">
        <f t="shared" si="230"/>
        <v>-340909958.72208518</v>
      </c>
      <c r="BO76" s="20">
        <f t="shared" si="231"/>
        <v>-358800000</v>
      </c>
      <c r="BQ76" s="1"/>
      <c r="BR76" s="20">
        <f t="shared" si="190"/>
        <v>0.39484815638015619</v>
      </c>
      <c r="BS76" s="17">
        <f t="shared" si="232"/>
        <v>0.39484815638015619</v>
      </c>
      <c r="BT76" s="17">
        <f t="shared" si="233"/>
        <v>0.39484815638015619</v>
      </c>
      <c r="BU76" s="17">
        <f t="shared" si="234"/>
        <v>0.39484815638015619</v>
      </c>
      <c r="BV76" s="17">
        <f t="shared" si="235"/>
        <v>0.39484815638015619</v>
      </c>
      <c r="BW76" s="17">
        <f t="shared" si="236"/>
        <v>0.39484815638015619</v>
      </c>
      <c r="BX76" s="17">
        <f t="shared" si="237"/>
        <v>0.39484815638015619</v>
      </c>
      <c r="BY76" s="17">
        <f t="shared" si="238"/>
        <v>0.39484815638015619</v>
      </c>
      <c r="BZ76" s="17">
        <f t="shared" si="239"/>
        <v>0.39484815638015619</v>
      </c>
      <c r="CA76" s="17">
        <f t="shared" si="240"/>
        <v>0.39484815638015619</v>
      </c>
      <c r="CB76" s="17">
        <f t="shared" si="241"/>
        <v>0.39484815638015619</v>
      </c>
      <c r="CC76" s="17">
        <f t="shared" si="242"/>
        <v>0.39484815638015619</v>
      </c>
      <c r="CD76" s="17">
        <f t="shared" si="243"/>
        <v>0.39484815638015619</v>
      </c>
      <c r="CE76" s="17">
        <f t="shared" si="244"/>
        <v>0.39484815638015619</v>
      </c>
      <c r="CF76" s="17">
        <f t="shared" si="245"/>
        <v>0.39484815638015619</v>
      </c>
      <c r="CG76" s="17">
        <f t="shared" si="246"/>
        <v>0.39484815638015619</v>
      </c>
      <c r="CH76" s="17">
        <f t="shared" si="247"/>
        <v>0.39484815638015619</v>
      </c>
      <c r="CI76" s="17">
        <f t="shared" si="248"/>
        <v>0.39484815638015619</v>
      </c>
      <c r="CJ76" s="17">
        <f t="shared" si="249"/>
        <v>0.39484815638015619</v>
      </c>
      <c r="CK76" s="17">
        <f t="shared" si="250"/>
        <v>0.39484815638015619</v>
      </c>
      <c r="CL76" s="17">
        <f t="shared" si="251"/>
        <v>0.39484815638015619</v>
      </c>
      <c r="CM76" s="17">
        <f t="shared" si="252"/>
        <v>0.39484815638015619</v>
      </c>
      <c r="CN76" s="17">
        <f t="shared" si="253"/>
        <v>0.39484815638015619</v>
      </c>
      <c r="CO76" s="17">
        <f t="shared" si="254"/>
        <v>0.39484815638015619</v>
      </c>
      <c r="CP76" s="17">
        <f t="shared" si="220"/>
        <v>0.39484815638015619</v>
      </c>
      <c r="CQ76" s="17">
        <f t="shared" si="221"/>
        <v>0.39484815638015619</v>
      </c>
      <c r="CR76" s="17">
        <f t="shared" si="222"/>
        <v>0.39484815638015619</v>
      </c>
      <c r="CS76" s="17">
        <f t="shared" si="223"/>
        <v>0.39484815638015619</v>
      </c>
      <c r="CT76" s="17">
        <f t="shared" si="224"/>
        <v>0.39484815638015619</v>
      </c>
      <c r="CU76" s="20">
        <f t="shared" si="225"/>
        <v>0.39484815638015619</v>
      </c>
      <c r="CW76" s="1"/>
      <c r="CX76" s="20">
        <f t="shared" si="131"/>
        <v>181.54555308595315</v>
      </c>
      <c r="CY76" s="17">
        <f t="shared" si="132"/>
        <v>169.43692006336434</v>
      </c>
      <c r="CZ76" s="17">
        <f t="shared" si="133"/>
        <v>157.4361621705001</v>
      </c>
      <c r="DA76" s="17">
        <f t="shared" si="134"/>
        <v>145.64908994647968</v>
      </c>
      <c r="DB76" s="17">
        <f t="shared" si="135"/>
        <v>134.1774576057513</v>
      </c>
      <c r="DC76" s="17">
        <f t="shared" si="136"/>
        <v>123.11711267780251</v>
      </c>
      <c r="DD76" s="17">
        <f t="shared" si="137"/>
        <v>112.55634720603501</v>
      </c>
      <c r="DE76" s="17">
        <f t="shared" si="138"/>
        <v>102.57449902728997</v>
      </c>
      <c r="DF76" s="17">
        <f t="shared" si="139"/>
        <v>93.240837569264244</v>
      </c>
      <c r="DG76" s="17">
        <f t="shared" si="140"/>
        <v>84.613753176154077</v>
      </c>
      <c r="DH76" s="17">
        <f t="shared" si="141"/>
        <v>76.740253347989906</v>
      </c>
      <c r="DI76" s="17">
        <f t="shared" si="142"/>
        <v>69.655754565594052</v>
      </c>
      <c r="DJ76" s="17">
        <f t="shared" si="143"/>
        <v>63.384145549417966</v>
      </c>
      <c r="DK76" s="17">
        <f t="shared" si="144"/>
        <v>57.938087635252089</v>
      </c>
      <c r="DL76" s="17">
        <f t="shared" si="145"/>
        <v>53.319510945828483</v>
      </c>
      <c r="DM76" s="17">
        <f t="shared" si="146"/>
        <v>49.520261404093652</v>
      </c>
      <c r="DN76" s="17">
        <f t="shared" si="147"/>
        <v>46.522853288895668</v>
      </c>
      <c r="DO76" s="17">
        <f t="shared" si="148"/>
        <v>44.301284631545144</v>
      </c>
      <c r="DP76" s="17">
        <f t="shared" si="149"/>
        <v>42.821877735871311</v>
      </c>
      <c r="DQ76" s="17">
        <f t="shared" si="150"/>
        <v>42.044113776465338</v>
      </c>
      <c r="DR76" s="17">
        <f t="shared" si="151"/>
        <v>41.921438026312181</v>
      </c>
      <c r="DS76" s="17">
        <f t="shared" si="152"/>
        <v>42.402020035306627</v>
      </c>
      <c r="DT76" s="17">
        <f t="shared" si="153"/>
        <v>43.429460357816005</v>
      </c>
      <c r="DU76" s="17">
        <f t="shared" si="154"/>
        <v>44.943441682843229</v>
      </c>
      <c r="DV76" s="17">
        <f t="shared" si="155"/>
        <v>46.88032710439294</v>
      </c>
      <c r="DW76" s="17">
        <f t="shared" si="156"/>
        <v>49.173711626342374</v>
      </c>
      <c r="DX76" s="17">
        <f t="shared" si="157"/>
        <v>51.754934858259254</v>
      </c>
      <c r="DY76" s="17">
        <f t="shared" si="158"/>
        <v>54.553563422631548</v>
      </c>
      <c r="DZ76" s="17">
        <f t="shared" si="159"/>
        <v>57.497851178660724</v>
      </c>
      <c r="EA76" s="20">
        <f t="shared" si="160"/>
        <v>60.515184361984382</v>
      </c>
    </row>
    <row r="77" spans="5:131" x14ac:dyDescent="0.25">
      <c r="E77" s="1"/>
      <c r="F77" s="15">
        <v>300</v>
      </c>
      <c r="G77" s="16">
        <f t="shared" si="191"/>
        <v>279.99075248592413</v>
      </c>
      <c r="H77" s="16">
        <f t="shared" si="192"/>
        <v>260.15976623117001</v>
      </c>
      <c r="I77" s="16">
        <f t="shared" si="193"/>
        <v>240.68189080487443</v>
      </c>
      <c r="J77" s="16">
        <f t="shared" si="194"/>
        <v>221.72527278961996</v>
      </c>
      <c r="K77" s="16">
        <f t="shared" si="195"/>
        <v>203.44829810209529</v>
      </c>
      <c r="L77" s="16">
        <f t="shared" si="196"/>
        <v>185.99686738580422</v>
      </c>
      <c r="M77" s="16">
        <f t="shared" si="197"/>
        <v>169.5020846565036</v>
      </c>
      <c r="N77" s="16">
        <f t="shared" si="198"/>
        <v>154.07841610714502</v>
      </c>
      <c r="O77" s="16">
        <f t="shared" si="199"/>
        <v>139.82235048648124</v>
      </c>
      <c r="P77" s="16">
        <f t="shared" si="200"/>
        <v>126.81156664573945</v>
      </c>
      <c r="Q77" s="16">
        <f t="shared" si="201"/>
        <v>115.10458953398111</v>
      </c>
      <c r="R77" s="16">
        <f t="shared" si="202"/>
        <v>104.7408947319276</v>
      </c>
      <c r="S77" s="16">
        <f t="shared" si="203"/>
        <v>95.741404816158479</v>
      </c>
      <c r="T77" s="16">
        <f t="shared" si="204"/>
        <v>88.109309271680559</v>
      </c>
      <c r="U77" s="16">
        <f t="shared" si="205"/>
        <v>81.83113366701113</v>
      </c>
      <c r="V77" s="16">
        <f t="shared" si="206"/>
        <v>76.877983235760112</v>
      </c>
      <c r="W77" s="16">
        <f t="shared" si="207"/>
        <v>73.206890301362449</v>
      </c>
      <c r="X77" s="16">
        <f t="shared" si="208"/>
        <v>70.762203217829082</v>
      </c>
      <c r="Y77" s="16">
        <f t="shared" si="209"/>
        <v>69.476965524833531</v>
      </c>
      <c r="Z77" s="16">
        <f t="shared" si="210"/>
        <v>69.274246568514499</v>
      </c>
      <c r="AA77" s="16">
        <f t="shared" si="211"/>
        <v>70.068397679613724</v>
      </c>
      <c r="AB77" s="16">
        <f t="shared" si="212"/>
        <v>71.766220025098988</v>
      </c>
      <c r="AC77" s="16">
        <f t="shared" si="213"/>
        <v>74.268040586317184</v>
      </c>
      <c r="AD77" s="16">
        <f t="shared" si="214"/>
        <v>77.468700787505412</v>
      </c>
      <c r="AE77" s="16">
        <f t="shared" si="215"/>
        <v>81.258467845358325</v>
      </c>
      <c r="AF77" s="16">
        <f t="shared" si="216"/>
        <v>85.523881987496168</v>
      </c>
      <c r="AG77" s="16">
        <f t="shared" si="217"/>
        <v>90.148553619712814</v>
      </c>
      <c r="AH77" s="16">
        <f t="shared" si="218"/>
        <v>95.013923835586723</v>
      </c>
      <c r="AI77" s="15">
        <v>100</v>
      </c>
      <c r="AK77" s="1"/>
      <c r="AL77" s="20">
        <f t="shared" si="219"/>
        <v>-1076400000</v>
      </c>
      <c r="AM77" s="17">
        <f t="shared" si="255"/>
        <v>-1004606819.9194956</v>
      </c>
      <c r="AN77" s="17">
        <f t="shared" si="256"/>
        <v>-933453241.23743796</v>
      </c>
      <c r="AO77" s="17">
        <f t="shared" si="257"/>
        <v>-863566624.20788932</v>
      </c>
      <c r="AP77" s="17">
        <f t="shared" si="258"/>
        <v>-795550278.76915634</v>
      </c>
      <c r="AQ77" s="17">
        <f t="shared" si="259"/>
        <v>-729972493.59031773</v>
      </c>
      <c r="AR77" s="17">
        <f t="shared" si="260"/>
        <v>-667356760.18026543</v>
      </c>
      <c r="AS77" s="17">
        <f t="shared" si="261"/>
        <v>-608173479.74753487</v>
      </c>
      <c r="AT77" s="17">
        <f t="shared" si="262"/>
        <v>-552833356.99243629</v>
      </c>
      <c r="AU77" s="17">
        <f t="shared" si="263"/>
        <v>-501682593.54549462</v>
      </c>
      <c r="AV77" s="17">
        <f t="shared" si="264"/>
        <v>-454999901.12491304</v>
      </c>
      <c r="AW77" s="17">
        <f t="shared" si="265"/>
        <v>-412995267.24792421</v>
      </c>
      <c r="AX77" s="17">
        <f t="shared" si="266"/>
        <v>-375810330.29815614</v>
      </c>
      <c r="AY77" s="17">
        <f t="shared" si="267"/>
        <v>-343520160.48037654</v>
      </c>
      <c r="AZ77" s="17">
        <f t="shared" si="268"/>
        <v>-316136201.66678983</v>
      </c>
      <c r="BA77" s="17">
        <f t="shared" si="269"/>
        <v>-293610107.59723592</v>
      </c>
      <c r="BB77" s="17">
        <f t="shared" si="270"/>
        <v>-275838203.84990728</v>
      </c>
      <c r="BC77" s="17">
        <f t="shared" si="271"/>
        <v>-262666322.40128848</v>
      </c>
      <c r="BD77" s="17">
        <f t="shared" si="272"/>
        <v>-253894785.14557076</v>
      </c>
      <c r="BE77" s="17">
        <f t="shared" si="273"/>
        <v>-249283352.3031027</v>
      </c>
      <c r="BF77" s="17">
        <f t="shared" si="274"/>
        <v>-248555996.68783003</v>
      </c>
      <c r="BG77" s="17">
        <f t="shared" si="275"/>
        <v>-251405410.87445405</v>
      </c>
      <c r="BH77" s="17">
        <f t="shared" si="276"/>
        <v>-257497197.45005518</v>
      </c>
      <c r="BI77" s="17">
        <f t="shared" si="277"/>
        <v>-266473729.6237061</v>
      </c>
      <c r="BJ77" s="17">
        <f t="shared" si="226"/>
        <v>-277957698.42556942</v>
      </c>
      <c r="BK77" s="17">
        <f t="shared" si="227"/>
        <v>-291555382.62914562</v>
      </c>
      <c r="BL77" s="17">
        <f t="shared" si="228"/>
        <v>-306859688.57113624</v>
      </c>
      <c r="BM77" s="17">
        <f t="shared" si="229"/>
        <v>-323453010.38752955</v>
      </c>
      <c r="BN77" s="17">
        <f t="shared" si="230"/>
        <v>-340909958.72208518</v>
      </c>
      <c r="BO77" s="20">
        <f t="shared" si="231"/>
        <v>-358800000</v>
      </c>
      <c r="BQ77" s="1"/>
      <c r="BR77" s="20">
        <f t="shared" si="190"/>
        <v>0.39484815638024306</v>
      </c>
      <c r="BS77" s="17">
        <f t="shared" si="232"/>
        <v>0.39484815638024306</v>
      </c>
      <c r="BT77" s="17">
        <f t="shared" si="233"/>
        <v>0.39484815638024306</v>
      </c>
      <c r="BU77" s="17">
        <f t="shared" si="234"/>
        <v>0.39484815638024306</v>
      </c>
      <c r="BV77" s="17">
        <f t="shared" si="235"/>
        <v>0.39484815638024306</v>
      </c>
      <c r="BW77" s="17">
        <f t="shared" si="236"/>
        <v>0.39484815638024306</v>
      </c>
      <c r="BX77" s="17">
        <f t="shared" si="237"/>
        <v>0.39484815638024306</v>
      </c>
      <c r="BY77" s="17">
        <f t="shared" si="238"/>
        <v>0.39484815638024306</v>
      </c>
      <c r="BZ77" s="17">
        <f t="shared" si="239"/>
        <v>0.39484815638024306</v>
      </c>
      <c r="CA77" s="17">
        <f t="shared" si="240"/>
        <v>0.39484815638024306</v>
      </c>
      <c r="CB77" s="17">
        <f t="shared" si="241"/>
        <v>0.39484815638024306</v>
      </c>
      <c r="CC77" s="17">
        <f t="shared" si="242"/>
        <v>0.39484815638024306</v>
      </c>
      <c r="CD77" s="17">
        <f t="shared" si="243"/>
        <v>0.39484815638024306</v>
      </c>
      <c r="CE77" s="17">
        <f t="shared" si="244"/>
        <v>0.39484815638024306</v>
      </c>
      <c r="CF77" s="17">
        <f t="shared" si="245"/>
        <v>0.39484815638024306</v>
      </c>
      <c r="CG77" s="17">
        <f t="shared" si="246"/>
        <v>0.39484815638024306</v>
      </c>
      <c r="CH77" s="17">
        <f t="shared" si="247"/>
        <v>0.39484815638024306</v>
      </c>
      <c r="CI77" s="17">
        <f t="shared" si="248"/>
        <v>0.39484815638024306</v>
      </c>
      <c r="CJ77" s="17">
        <f t="shared" si="249"/>
        <v>0.39484815638024306</v>
      </c>
      <c r="CK77" s="17">
        <f t="shared" si="250"/>
        <v>0.39484815638024306</v>
      </c>
      <c r="CL77" s="17">
        <f t="shared" si="251"/>
        <v>0.39484815638024306</v>
      </c>
      <c r="CM77" s="17">
        <f t="shared" si="252"/>
        <v>0.39484815638024306</v>
      </c>
      <c r="CN77" s="17">
        <f t="shared" si="253"/>
        <v>0.39484815638024306</v>
      </c>
      <c r="CO77" s="17">
        <f t="shared" si="254"/>
        <v>0.39484815638024306</v>
      </c>
      <c r="CP77" s="17">
        <f t="shared" si="220"/>
        <v>0.39484815638024306</v>
      </c>
      <c r="CQ77" s="17">
        <f t="shared" si="221"/>
        <v>0.39484815638024306</v>
      </c>
      <c r="CR77" s="17">
        <f t="shared" si="222"/>
        <v>0.39484815638024306</v>
      </c>
      <c r="CS77" s="17">
        <f t="shared" si="223"/>
        <v>0.39484815638024306</v>
      </c>
      <c r="CT77" s="17">
        <f t="shared" si="224"/>
        <v>0.39484815638024306</v>
      </c>
      <c r="CU77" s="20">
        <f t="shared" si="225"/>
        <v>0.39484815638024306</v>
      </c>
      <c r="CW77" s="1"/>
      <c r="CX77" s="20">
        <f t="shared" si="131"/>
        <v>181.54555308592711</v>
      </c>
      <c r="CY77" s="17">
        <f t="shared" si="132"/>
        <v>169.43692006334004</v>
      </c>
      <c r="CZ77" s="17">
        <f t="shared" si="133"/>
        <v>157.43616217047753</v>
      </c>
      <c r="DA77" s="17">
        <f t="shared" si="134"/>
        <v>145.64908994645879</v>
      </c>
      <c r="DB77" s="17">
        <f t="shared" si="135"/>
        <v>134.17745760573206</v>
      </c>
      <c r="DC77" s="17">
        <f t="shared" si="136"/>
        <v>123.11711267778486</v>
      </c>
      <c r="DD77" s="17">
        <f t="shared" si="137"/>
        <v>112.55634720601887</v>
      </c>
      <c r="DE77" s="17">
        <f t="shared" si="138"/>
        <v>102.57449902727527</v>
      </c>
      <c r="DF77" s="17">
        <f t="shared" si="139"/>
        <v>93.240837569250857</v>
      </c>
      <c r="DG77" s="17">
        <f t="shared" si="140"/>
        <v>84.613753176141941</v>
      </c>
      <c r="DH77" s="17">
        <f t="shared" si="141"/>
        <v>76.740253347978893</v>
      </c>
      <c r="DI77" s="17">
        <f t="shared" si="142"/>
        <v>69.655754565584047</v>
      </c>
      <c r="DJ77" s="17">
        <f t="shared" si="143"/>
        <v>63.384145549408863</v>
      </c>
      <c r="DK77" s="17">
        <f t="shared" si="144"/>
        <v>57.938087635243775</v>
      </c>
      <c r="DL77" s="17">
        <f t="shared" si="145"/>
        <v>53.319510945820831</v>
      </c>
      <c r="DM77" s="17">
        <f t="shared" si="146"/>
        <v>49.520261404086547</v>
      </c>
      <c r="DN77" s="17">
        <f t="shared" si="147"/>
        <v>46.522853288888996</v>
      </c>
      <c r="DO77" s="17">
        <f t="shared" si="148"/>
        <v>44.301284631538792</v>
      </c>
      <c r="DP77" s="17">
        <f t="shared" si="149"/>
        <v>42.821877735865165</v>
      </c>
      <c r="DQ77" s="17">
        <f t="shared" si="150"/>
        <v>42.044113776459298</v>
      </c>
      <c r="DR77" s="17">
        <f t="shared" si="151"/>
        <v>41.92143802630617</v>
      </c>
      <c r="DS77" s="17">
        <f t="shared" si="152"/>
        <v>42.402020035300545</v>
      </c>
      <c r="DT77" s="17">
        <f t="shared" si="153"/>
        <v>43.429460357809774</v>
      </c>
      <c r="DU77" s="17">
        <f t="shared" si="154"/>
        <v>44.943441682836777</v>
      </c>
      <c r="DV77" s="17">
        <f t="shared" si="155"/>
        <v>46.880327104386218</v>
      </c>
      <c r="DW77" s="17">
        <f t="shared" si="156"/>
        <v>49.173711626335326</v>
      </c>
      <c r="DX77" s="17">
        <f t="shared" si="157"/>
        <v>51.754934858251836</v>
      </c>
      <c r="DY77" s="17">
        <f t="shared" si="158"/>
        <v>54.553563422623725</v>
      </c>
      <c r="DZ77" s="17">
        <f t="shared" si="159"/>
        <v>57.497851178652482</v>
      </c>
      <c r="EA77" s="20">
        <f t="shared" si="160"/>
        <v>60.515184361975706</v>
      </c>
    </row>
    <row r="78" spans="5:131" x14ac:dyDescent="0.25">
      <c r="E78" s="1" t="s">
        <v>26</v>
      </c>
      <c r="F78" s="15">
        <v>300</v>
      </c>
      <c r="G78" s="16">
        <f t="shared" si="191"/>
        <v>279.99075248592413</v>
      </c>
      <c r="H78" s="16">
        <f t="shared" si="192"/>
        <v>260.15976623117001</v>
      </c>
      <c r="I78" s="16">
        <f t="shared" si="193"/>
        <v>240.6818908048744</v>
      </c>
      <c r="J78" s="16">
        <f t="shared" si="194"/>
        <v>221.72527278961996</v>
      </c>
      <c r="K78" s="16">
        <f t="shared" si="195"/>
        <v>203.44829810209526</v>
      </c>
      <c r="L78" s="16">
        <f t="shared" si="196"/>
        <v>185.99686738580419</v>
      </c>
      <c r="M78" s="16">
        <f t="shared" si="197"/>
        <v>169.5020846565036</v>
      </c>
      <c r="N78" s="16">
        <f t="shared" si="198"/>
        <v>154.07841610714499</v>
      </c>
      <c r="O78" s="16">
        <f t="shared" si="199"/>
        <v>139.82235048648118</v>
      </c>
      <c r="P78" s="16">
        <f t="shared" si="200"/>
        <v>126.81156664573942</v>
      </c>
      <c r="Q78" s="16">
        <f t="shared" si="201"/>
        <v>115.10458953398108</v>
      </c>
      <c r="R78" s="16">
        <f t="shared" si="202"/>
        <v>104.74089473192757</v>
      </c>
      <c r="S78" s="16">
        <f t="shared" si="203"/>
        <v>95.74140481615845</v>
      </c>
      <c r="T78" s="16">
        <f t="shared" si="204"/>
        <v>88.109309271680559</v>
      </c>
      <c r="U78" s="16">
        <f t="shared" si="205"/>
        <v>81.831133667011116</v>
      </c>
      <c r="V78" s="16">
        <f t="shared" si="206"/>
        <v>76.877983235760084</v>
      </c>
      <c r="W78" s="16">
        <f t="shared" si="207"/>
        <v>73.206890301362421</v>
      </c>
      <c r="X78" s="16">
        <f t="shared" si="208"/>
        <v>70.762203217829068</v>
      </c>
      <c r="Y78" s="16">
        <f t="shared" si="209"/>
        <v>69.476965524833503</v>
      </c>
      <c r="Z78" s="16">
        <f t="shared" si="210"/>
        <v>69.274246568514485</v>
      </c>
      <c r="AA78" s="16">
        <f t="shared" si="211"/>
        <v>70.068397679613696</v>
      </c>
      <c r="AB78" s="16">
        <f t="shared" si="212"/>
        <v>71.76622002509896</v>
      </c>
      <c r="AC78" s="16">
        <f t="shared" si="213"/>
        <v>74.26804058631717</v>
      </c>
      <c r="AD78" s="16">
        <f t="shared" si="214"/>
        <v>77.468700787505398</v>
      </c>
      <c r="AE78" s="16">
        <f t="shared" si="215"/>
        <v>81.258467845358297</v>
      </c>
      <c r="AF78" s="16">
        <f t="shared" si="216"/>
        <v>85.523881987496168</v>
      </c>
      <c r="AG78" s="16">
        <f t="shared" si="217"/>
        <v>90.1485536197128</v>
      </c>
      <c r="AH78" s="16">
        <f t="shared" si="218"/>
        <v>95.013923835586723</v>
      </c>
      <c r="AI78" s="15">
        <v>100</v>
      </c>
      <c r="AK78" s="1" t="s">
        <v>23</v>
      </c>
      <c r="AL78" s="20">
        <f t="shared" si="219"/>
        <v>-1076400000</v>
      </c>
      <c r="AM78" s="17">
        <f t="shared" si="255"/>
        <v>-1004606819.9194956</v>
      </c>
      <c r="AN78" s="17">
        <f t="shared" si="256"/>
        <v>-933453241.23743796</v>
      </c>
      <c r="AO78" s="17">
        <f t="shared" si="257"/>
        <v>-863566624.20788932</v>
      </c>
      <c r="AP78" s="17">
        <f t="shared" si="258"/>
        <v>-795550278.76915634</v>
      </c>
      <c r="AQ78" s="17">
        <f t="shared" si="259"/>
        <v>-729972493.59031773</v>
      </c>
      <c r="AR78" s="17">
        <f t="shared" si="260"/>
        <v>-667356760.18026543</v>
      </c>
      <c r="AS78" s="17">
        <f t="shared" si="261"/>
        <v>-608173479.74753475</v>
      </c>
      <c r="AT78" s="17">
        <f t="shared" si="262"/>
        <v>-552833356.99243629</v>
      </c>
      <c r="AU78" s="17">
        <f t="shared" si="263"/>
        <v>-501682593.5454945</v>
      </c>
      <c r="AV78" s="17">
        <f t="shared" si="264"/>
        <v>-454999901.12491304</v>
      </c>
      <c r="AW78" s="17">
        <f t="shared" si="265"/>
        <v>-412995267.24792421</v>
      </c>
      <c r="AX78" s="17">
        <f t="shared" si="266"/>
        <v>-375810330.29815614</v>
      </c>
      <c r="AY78" s="17">
        <f t="shared" si="267"/>
        <v>-343520160.48037654</v>
      </c>
      <c r="AZ78" s="17">
        <f t="shared" si="268"/>
        <v>-316136201.66678983</v>
      </c>
      <c r="BA78" s="17">
        <f t="shared" si="269"/>
        <v>-293610107.59723592</v>
      </c>
      <c r="BB78" s="17">
        <f t="shared" si="270"/>
        <v>-275838203.84990722</v>
      </c>
      <c r="BC78" s="17">
        <f t="shared" si="271"/>
        <v>-262666322.40128836</v>
      </c>
      <c r="BD78" s="17">
        <f t="shared" si="272"/>
        <v>-253894785.1455707</v>
      </c>
      <c r="BE78" s="17">
        <f t="shared" si="273"/>
        <v>-249283352.30310267</v>
      </c>
      <c r="BF78" s="17">
        <f t="shared" si="274"/>
        <v>-248555996.68782997</v>
      </c>
      <c r="BG78" s="17">
        <f t="shared" si="275"/>
        <v>-251405410.87445393</v>
      </c>
      <c r="BH78" s="17">
        <f t="shared" si="276"/>
        <v>-257497197.45005506</v>
      </c>
      <c r="BI78" s="17">
        <f t="shared" si="277"/>
        <v>-266473729.62370604</v>
      </c>
      <c r="BJ78" s="17">
        <f t="shared" si="226"/>
        <v>-277957698.42556936</v>
      </c>
      <c r="BK78" s="17">
        <f t="shared" si="227"/>
        <v>-291555382.62914556</v>
      </c>
      <c r="BL78" s="17">
        <f t="shared" si="228"/>
        <v>-306859688.57113618</v>
      </c>
      <c r="BM78" s="17">
        <f t="shared" si="229"/>
        <v>-323453010.38752955</v>
      </c>
      <c r="BN78" s="17">
        <f t="shared" si="230"/>
        <v>-340909958.72208518</v>
      </c>
      <c r="BO78" s="20">
        <f t="shared" si="231"/>
        <v>-358800000</v>
      </c>
      <c r="BQ78" s="1" t="s">
        <v>24</v>
      </c>
      <c r="BR78" s="20">
        <f t="shared" si="190"/>
        <v>0.39484815638079984</v>
      </c>
      <c r="BS78" s="17">
        <f t="shared" si="232"/>
        <v>0.39484815638079984</v>
      </c>
      <c r="BT78" s="17">
        <f t="shared" si="233"/>
        <v>0.39484815638079984</v>
      </c>
      <c r="BU78" s="17">
        <f t="shared" si="234"/>
        <v>0.39484815638079984</v>
      </c>
      <c r="BV78" s="17">
        <f t="shared" si="235"/>
        <v>0.39484815638079984</v>
      </c>
      <c r="BW78" s="17">
        <f t="shared" si="236"/>
        <v>0.39484815638079984</v>
      </c>
      <c r="BX78" s="17">
        <f t="shared" si="237"/>
        <v>0.39484815638079984</v>
      </c>
      <c r="BY78" s="17">
        <f t="shared" si="238"/>
        <v>0.39484815638079984</v>
      </c>
      <c r="BZ78" s="17">
        <f t="shared" si="239"/>
        <v>0.39484815638079984</v>
      </c>
      <c r="CA78" s="17">
        <f t="shared" si="240"/>
        <v>0.39484815638079984</v>
      </c>
      <c r="CB78" s="17">
        <f t="shared" si="241"/>
        <v>0.39484815638079984</v>
      </c>
      <c r="CC78" s="17">
        <f t="shared" si="242"/>
        <v>0.39484815638079984</v>
      </c>
      <c r="CD78" s="17">
        <f t="shared" si="243"/>
        <v>0.39484815638079984</v>
      </c>
      <c r="CE78" s="17">
        <f t="shared" si="244"/>
        <v>0.39484815638079984</v>
      </c>
      <c r="CF78" s="17">
        <f t="shared" si="245"/>
        <v>0.39484815638079984</v>
      </c>
      <c r="CG78" s="17">
        <f t="shared" si="246"/>
        <v>0.39484815638079984</v>
      </c>
      <c r="CH78" s="17">
        <f t="shared" si="247"/>
        <v>0.39484815638079984</v>
      </c>
      <c r="CI78" s="17">
        <f t="shared" si="248"/>
        <v>0.39484815638079984</v>
      </c>
      <c r="CJ78" s="17">
        <f t="shared" si="249"/>
        <v>0.39484815638079984</v>
      </c>
      <c r="CK78" s="17">
        <f t="shared" si="250"/>
        <v>0.39484815638079984</v>
      </c>
      <c r="CL78" s="17">
        <f t="shared" si="251"/>
        <v>0.39484815638079984</v>
      </c>
      <c r="CM78" s="17">
        <f t="shared" si="252"/>
        <v>0.39484815638079984</v>
      </c>
      <c r="CN78" s="17">
        <f t="shared" si="253"/>
        <v>0.39484815638079984</v>
      </c>
      <c r="CO78" s="17">
        <f t="shared" si="254"/>
        <v>0.39484815638079984</v>
      </c>
      <c r="CP78" s="17">
        <f t="shared" si="220"/>
        <v>0.39484815638079984</v>
      </c>
      <c r="CQ78" s="17">
        <f t="shared" si="221"/>
        <v>0.39484815638079984</v>
      </c>
      <c r="CR78" s="17">
        <f t="shared" si="222"/>
        <v>0.39484815638079984</v>
      </c>
      <c r="CS78" s="17">
        <f t="shared" si="223"/>
        <v>0.39484815638079984</v>
      </c>
      <c r="CT78" s="17">
        <f t="shared" si="224"/>
        <v>0.39484815638079984</v>
      </c>
      <c r="CU78" s="20">
        <f t="shared" si="225"/>
        <v>0.39484815638079984</v>
      </c>
      <c r="CW78" s="1" t="s">
        <v>25</v>
      </c>
      <c r="CX78" s="20">
        <f t="shared" si="131"/>
        <v>181.54555308576005</v>
      </c>
      <c r="CY78" s="17">
        <f t="shared" si="132"/>
        <v>169.43692006318412</v>
      </c>
      <c r="CZ78" s="17">
        <f t="shared" si="133"/>
        <v>157.43616217033266</v>
      </c>
      <c r="DA78" s="17">
        <f t="shared" si="134"/>
        <v>145.64908994632475</v>
      </c>
      <c r="DB78" s="17">
        <f t="shared" si="135"/>
        <v>134.17745760560859</v>
      </c>
      <c r="DC78" s="17">
        <f t="shared" si="136"/>
        <v>123.11711267767156</v>
      </c>
      <c r="DD78" s="17">
        <f t="shared" si="137"/>
        <v>112.55634720591527</v>
      </c>
      <c r="DE78" s="17">
        <f t="shared" si="138"/>
        <v>102.57449902718088</v>
      </c>
      <c r="DF78" s="17">
        <f t="shared" si="139"/>
        <v>93.240837569165052</v>
      </c>
      <c r="DG78" s="17">
        <f t="shared" si="140"/>
        <v>84.613753176064051</v>
      </c>
      <c r="DH78" s="17">
        <f t="shared" si="141"/>
        <v>76.740253347908265</v>
      </c>
      <c r="DI78" s="17">
        <f t="shared" si="142"/>
        <v>69.655754565519942</v>
      </c>
      <c r="DJ78" s="17">
        <f t="shared" si="143"/>
        <v>63.384145549350528</v>
      </c>
      <c r="DK78" s="17">
        <f t="shared" si="144"/>
        <v>57.938087635190442</v>
      </c>
      <c r="DL78" s="17">
        <f t="shared" si="145"/>
        <v>53.319510945771768</v>
      </c>
      <c r="DM78" s="17">
        <f t="shared" si="146"/>
        <v>49.520261404040973</v>
      </c>
      <c r="DN78" s="17">
        <f t="shared" si="147"/>
        <v>46.522853288846171</v>
      </c>
      <c r="DO78" s="17">
        <f t="shared" si="148"/>
        <v>44.301284631498007</v>
      </c>
      <c r="DP78" s="17">
        <f t="shared" si="149"/>
        <v>42.821877735825751</v>
      </c>
      <c r="DQ78" s="17">
        <f t="shared" si="150"/>
        <v>42.044113776420602</v>
      </c>
      <c r="DR78" s="17">
        <f t="shared" si="151"/>
        <v>41.921438026267587</v>
      </c>
      <c r="DS78" s="17">
        <f t="shared" si="152"/>
        <v>42.402020035261508</v>
      </c>
      <c r="DT78" s="17">
        <f t="shared" si="153"/>
        <v>43.429460357769791</v>
      </c>
      <c r="DU78" s="17">
        <f t="shared" si="154"/>
        <v>44.943441682795417</v>
      </c>
      <c r="DV78" s="17">
        <f t="shared" si="155"/>
        <v>46.880327104343074</v>
      </c>
      <c r="DW78" s="17">
        <f t="shared" si="156"/>
        <v>49.173711626290064</v>
      </c>
      <c r="DX78" s="17">
        <f t="shared" si="157"/>
        <v>51.754934858204201</v>
      </c>
      <c r="DY78" s="17">
        <f t="shared" si="158"/>
        <v>54.553563422573525</v>
      </c>
      <c r="DZ78" s="17">
        <f t="shared" si="159"/>
        <v>57.497851178599575</v>
      </c>
      <c r="EA78" s="20">
        <f t="shared" si="160"/>
        <v>60.515184361920021</v>
      </c>
    </row>
    <row r="79" spans="5:131" x14ac:dyDescent="0.25">
      <c r="E79" s="1"/>
      <c r="F79" s="15">
        <v>300</v>
      </c>
      <c r="G79" s="16">
        <f t="shared" si="191"/>
        <v>279.99075248592408</v>
      </c>
      <c r="H79" s="16">
        <f t="shared" si="192"/>
        <v>260.15976623116995</v>
      </c>
      <c r="I79" s="16">
        <f t="shared" si="193"/>
        <v>240.68189080487437</v>
      </c>
      <c r="J79" s="16">
        <f t="shared" si="194"/>
        <v>221.72527278961991</v>
      </c>
      <c r="K79" s="16">
        <f t="shared" si="195"/>
        <v>203.44829810209521</v>
      </c>
      <c r="L79" s="16">
        <f t="shared" si="196"/>
        <v>185.99686738580414</v>
      </c>
      <c r="M79" s="16">
        <f t="shared" si="197"/>
        <v>169.50208465650354</v>
      </c>
      <c r="N79" s="16">
        <f t="shared" si="198"/>
        <v>154.07841610714496</v>
      </c>
      <c r="O79" s="16">
        <f t="shared" si="199"/>
        <v>139.82235048648116</v>
      </c>
      <c r="P79" s="16">
        <f t="shared" si="200"/>
        <v>126.81156664573939</v>
      </c>
      <c r="Q79" s="16">
        <f t="shared" si="201"/>
        <v>115.10458953398106</v>
      </c>
      <c r="R79" s="16">
        <f t="shared" si="202"/>
        <v>104.74089473192751</v>
      </c>
      <c r="S79" s="16">
        <f t="shared" si="203"/>
        <v>95.741404816158408</v>
      </c>
      <c r="T79" s="16">
        <f t="shared" si="204"/>
        <v>88.109309271680502</v>
      </c>
      <c r="U79" s="16">
        <f t="shared" si="205"/>
        <v>81.831133667011102</v>
      </c>
      <c r="V79" s="16">
        <f t="shared" si="206"/>
        <v>76.877983235760055</v>
      </c>
      <c r="W79" s="16">
        <f t="shared" si="207"/>
        <v>73.206890301362392</v>
      </c>
      <c r="X79" s="16">
        <f t="shared" si="208"/>
        <v>70.76220321782904</v>
      </c>
      <c r="Y79" s="16">
        <f t="shared" si="209"/>
        <v>69.476965524833474</v>
      </c>
      <c r="Z79" s="16">
        <f t="shared" si="210"/>
        <v>69.274246568514471</v>
      </c>
      <c r="AA79" s="16">
        <f t="shared" si="211"/>
        <v>70.068397679613668</v>
      </c>
      <c r="AB79" s="16">
        <f t="shared" si="212"/>
        <v>71.766220025098932</v>
      </c>
      <c r="AC79" s="16">
        <f t="shared" si="213"/>
        <v>74.268040586317156</v>
      </c>
      <c r="AD79" s="16">
        <f t="shared" si="214"/>
        <v>77.468700787505384</v>
      </c>
      <c r="AE79" s="16">
        <f t="shared" si="215"/>
        <v>81.258467845358268</v>
      </c>
      <c r="AF79" s="16">
        <f t="shared" si="216"/>
        <v>85.523881987496139</v>
      </c>
      <c r="AG79" s="16">
        <f t="shared" si="217"/>
        <v>90.148553619712771</v>
      </c>
      <c r="AH79" s="16">
        <f t="shared" si="218"/>
        <v>95.013923835586709</v>
      </c>
      <c r="AI79" s="15">
        <v>100</v>
      </c>
      <c r="AK79" s="1"/>
      <c r="AL79" s="20">
        <f t="shared" si="219"/>
        <v>-1076400000</v>
      </c>
      <c r="AM79" s="17">
        <f t="shared" si="255"/>
        <v>-1004606819.9194956</v>
      </c>
      <c r="AN79" s="17">
        <f t="shared" si="256"/>
        <v>-933453241.23743784</v>
      </c>
      <c r="AO79" s="17">
        <f t="shared" si="257"/>
        <v>-863566624.2078892</v>
      </c>
      <c r="AP79" s="17">
        <f t="shared" si="258"/>
        <v>-795550278.7691561</v>
      </c>
      <c r="AQ79" s="17">
        <f t="shared" si="259"/>
        <v>-729972493.59031749</v>
      </c>
      <c r="AR79" s="17">
        <f t="shared" si="260"/>
        <v>-667356760.18026519</v>
      </c>
      <c r="AS79" s="17">
        <f t="shared" si="261"/>
        <v>-608173479.74753463</v>
      </c>
      <c r="AT79" s="17">
        <f t="shared" si="262"/>
        <v>-552833356.99243617</v>
      </c>
      <c r="AU79" s="17">
        <f t="shared" si="263"/>
        <v>-501682593.54549426</v>
      </c>
      <c r="AV79" s="17">
        <f t="shared" si="264"/>
        <v>-454999901.12491286</v>
      </c>
      <c r="AW79" s="17">
        <f t="shared" si="265"/>
        <v>-412995267.24792409</v>
      </c>
      <c r="AX79" s="17">
        <f t="shared" si="266"/>
        <v>-375810330.2981559</v>
      </c>
      <c r="AY79" s="17">
        <f t="shared" si="267"/>
        <v>-343520160.4803763</v>
      </c>
      <c r="AZ79" s="17">
        <f t="shared" si="268"/>
        <v>-316136201.66678965</v>
      </c>
      <c r="BA79" s="17">
        <f t="shared" si="269"/>
        <v>-293610107.5972358</v>
      </c>
      <c r="BB79" s="17">
        <f t="shared" si="270"/>
        <v>-275838203.8499071</v>
      </c>
      <c r="BC79" s="17">
        <f t="shared" si="271"/>
        <v>-262666322.40128827</v>
      </c>
      <c r="BD79" s="17">
        <f t="shared" si="272"/>
        <v>-253894785.14557055</v>
      </c>
      <c r="BE79" s="17">
        <f t="shared" si="273"/>
        <v>-249283352.30310249</v>
      </c>
      <c r="BF79" s="17">
        <f t="shared" si="274"/>
        <v>-248555996.68782988</v>
      </c>
      <c r="BG79" s="17">
        <f t="shared" si="275"/>
        <v>-251405410.87445384</v>
      </c>
      <c r="BH79" s="17">
        <f t="shared" si="276"/>
        <v>-257497197.45005497</v>
      </c>
      <c r="BI79" s="17">
        <f t="shared" si="277"/>
        <v>-266473729.62370601</v>
      </c>
      <c r="BJ79" s="17">
        <f t="shared" si="226"/>
        <v>-277957698.4255693</v>
      </c>
      <c r="BK79" s="17">
        <f t="shared" si="227"/>
        <v>-291555382.62914544</v>
      </c>
      <c r="BL79" s="17">
        <f t="shared" si="228"/>
        <v>-306859688.57113612</v>
      </c>
      <c r="BM79" s="17">
        <f t="shared" si="229"/>
        <v>-323453010.38752943</v>
      </c>
      <c r="BN79" s="17">
        <f t="shared" si="230"/>
        <v>-340909958.72208512</v>
      </c>
      <c r="BO79" s="20">
        <f t="shared" si="231"/>
        <v>-358800000</v>
      </c>
      <c r="BQ79" s="1"/>
      <c r="BR79" s="20">
        <f t="shared" si="190"/>
        <v>0.3948481563843711</v>
      </c>
      <c r="BS79" s="17">
        <f t="shared" si="232"/>
        <v>0.3948481563843711</v>
      </c>
      <c r="BT79" s="17">
        <f t="shared" si="233"/>
        <v>0.3948481563843711</v>
      </c>
      <c r="BU79" s="17">
        <f t="shared" si="234"/>
        <v>0.3948481563843711</v>
      </c>
      <c r="BV79" s="17">
        <f t="shared" si="235"/>
        <v>0.3948481563843711</v>
      </c>
      <c r="BW79" s="17">
        <f t="shared" si="236"/>
        <v>0.3948481563843711</v>
      </c>
      <c r="BX79" s="17">
        <f t="shared" si="237"/>
        <v>0.3948481563843711</v>
      </c>
      <c r="BY79" s="17">
        <f t="shared" si="238"/>
        <v>0.3948481563843711</v>
      </c>
      <c r="BZ79" s="17">
        <f t="shared" si="239"/>
        <v>0.3948481563843711</v>
      </c>
      <c r="CA79" s="17">
        <f t="shared" si="240"/>
        <v>0.3948481563843711</v>
      </c>
      <c r="CB79" s="17">
        <f t="shared" si="241"/>
        <v>0.3948481563843711</v>
      </c>
      <c r="CC79" s="17">
        <f t="shared" si="242"/>
        <v>0.3948481563843711</v>
      </c>
      <c r="CD79" s="17">
        <f t="shared" si="243"/>
        <v>0.3948481563843711</v>
      </c>
      <c r="CE79" s="17">
        <f t="shared" si="244"/>
        <v>0.3948481563843711</v>
      </c>
      <c r="CF79" s="17">
        <f t="shared" si="245"/>
        <v>0.3948481563843711</v>
      </c>
      <c r="CG79" s="17">
        <f t="shared" si="246"/>
        <v>0.3948481563843711</v>
      </c>
      <c r="CH79" s="17">
        <f t="shared" si="247"/>
        <v>0.3948481563843711</v>
      </c>
      <c r="CI79" s="17">
        <f t="shared" si="248"/>
        <v>0.3948481563843711</v>
      </c>
      <c r="CJ79" s="17">
        <f t="shared" si="249"/>
        <v>0.3948481563843711</v>
      </c>
      <c r="CK79" s="17">
        <f t="shared" si="250"/>
        <v>0.3948481563843711</v>
      </c>
      <c r="CL79" s="17">
        <f t="shared" si="251"/>
        <v>0.3948481563843711</v>
      </c>
      <c r="CM79" s="17">
        <f t="shared" si="252"/>
        <v>0.3948481563843711</v>
      </c>
      <c r="CN79" s="17">
        <f t="shared" si="253"/>
        <v>0.3948481563843711</v>
      </c>
      <c r="CO79" s="17">
        <f t="shared" si="254"/>
        <v>0.3948481563843711</v>
      </c>
      <c r="CP79" s="17">
        <f t="shared" si="220"/>
        <v>0.3948481563843711</v>
      </c>
      <c r="CQ79" s="17">
        <f t="shared" si="221"/>
        <v>0.3948481563843711</v>
      </c>
      <c r="CR79" s="17">
        <f t="shared" si="222"/>
        <v>0.3948481563843711</v>
      </c>
      <c r="CS79" s="17">
        <f t="shared" si="223"/>
        <v>0.3948481563843711</v>
      </c>
      <c r="CT79" s="17">
        <f t="shared" si="224"/>
        <v>0.3948481563843711</v>
      </c>
      <c r="CU79" s="20">
        <f t="shared" si="225"/>
        <v>0.3948481563843711</v>
      </c>
      <c r="CW79" s="1"/>
      <c r="CX79" s="20">
        <f t="shared" si="131"/>
        <v>181.54555308468866</v>
      </c>
      <c r="CY79" s="17">
        <f t="shared" si="132"/>
        <v>169.43692006218416</v>
      </c>
      <c r="CZ79" s="17">
        <f t="shared" si="133"/>
        <v>157.43616216940353</v>
      </c>
      <c r="DA79" s="17">
        <f t="shared" si="134"/>
        <v>145.64908994546519</v>
      </c>
      <c r="DB79" s="17">
        <f t="shared" si="135"/>
        <v>134.17745760481671</v>
      </c>
      <c r="DC79" s="17">
        <f t="shared" si="136"/>
        <v>123.11711267694494</v>
      </c>
      <c r="DD79" s="17">
        <f t="shared" si="137"/>
        <v>112.556347205251</v>
      </c>
      <c r="DE79" s="17">
        <f t="shared" si="138"/>
        <v>102.57449902657551</v>
      </c>
      <c r="DF79" s="17">
        <f t="shared" si="139"/>
        <v>93.240837568614779</v>
      </c>
      <c r="DG79" s="17">
        <f t="shared" si="140"/>
        <v>84.613753175564682</v>
      </c>
      <c r="DH79" s="17">
        <f t="shared" si="141"/>
        <v>76.740253347455365</v>
      </c>
      <c r="DI79" s="17">
        <f t="shared" si="142"/>
        <v>69.65575456510885</v>
      </c>
      <c r="DJ79" s="17">
        <f t="shared" si="143"/>
        <v>63.384145548976427</v>
      </c>
      <c r="DK79" s="17">
        <f t="shared" si="144"/>
        <v>57.938087634848493</v>
      </c>
      <c r="DL79" s="17">
        <f t="shared" si="145"/>
        <v>53.319510945457068</v>
      </c>
      <c r="DM79" s="17">
        <f t="shared" si="146"/>
        <v>49.520261403748712</v>
      </c>
      <c r="DN79" s="17">
        <f t="shared" si="147"/>
        <v>46.522853288571596</v>
      </c>
      <c r="DO79" s="17">
        <f t="shared" si="148"/>
        <v>44.301284631236548</v>
      </c>
      <c r="DP79" s="17">
        <f t="shared" si="149"/>
        <v>42.821877735573018</v>
      </c>
      <c r="DQ79" s="17">
        <f t="shared" si="150"/>
        <v>42.044113776172459</v>
      </c>
      <c r="DR79" s="17">
        <f t="shared" si="151"/>
        <v>41.921438026020176</v>
      </c>
      <c r="DS79" s="17">
        <f t="shared" si="152"/>
        <v>42.402020035011262</v>
      </c>
      <c r="DT79" s="17">
        <f t="shared" si="153"/>
        <v>43.429460357513477</v>
      </c>
      <c r="DU79" s="17">
        <f t="shared" si="154"/>
        <v>44.943441682530178</v>
      </c>
      <c r="DV79" s="17">
        <f t="shared" si="155"/>
        <v>46.880327104066403</v>
      </c>
      <c r="DW79" s="17">
        <f t="shared" si="156"/>
        <v>49.17371162599985</v>
      </c>
      <c r="DX79" s="17">
        <f t="shared" si="157"/>
        <v>51.75493485789876</v>
      </c>
      <c r="DY79" s="17">
        <f t="shared" si="158"/>
        <v>54.553563422251557</v>
      </c>
      <c r="DZ79" s="17">
        <f t="shared" si="159"/>
        <v>57.497851178260241</v>
      </c>
      <c r="EA79" s="20">
        <f t="shared" si="160"/>
        <v>60.515184361562888</v>
      </c>
    </row>
    <row r="80" spans="5:131" x14ac:dyDescent="0.25">
      <c r="E80" s="1"/>
      <c r="F80" s="15">
        <v>300</v>
      </c>
      <c r="G80" s="16">
        <f t="shared" si="191"/>
        <v>279.99075248592408</v>
      </c>
      <c r="H80" s="16">
        <f t="shared" si="192"/>
        <v>260.1597662311699</v>
      </c>
      <c r="I80" s="16">
        <f t="shared" si="193"/>
        <v>240.68189080487434</v>
      </c>
      <c r="J80" s="16">
        <f t="shared" si="194"/>
        <v>221.72527278961988</v>
      </c>
      <c r="K80" s="16">
        <f t="shared" si="195"/>
        <v>203.44829810209518</v>
      </c>
      <c r="L80" s="16">
        <f t="shared" si="196"/>
        <v>185.99686738580411</v>
      </c>
      <c r="M80" s="16">
        <f t="shared" si="197"/>
        <v>169.50208465650348</v>
      </c>
      <c r="N80" s="16">
        <f t="shared" si="198"/>
        <v>154.0784161071449</v>
      </c>
      <c r="O80" s="16">
        <f t="shared" si="199"/>
        <v>139.82235048648113</v>
      </c>
      <c r="P80" s="16">
        <f t="shared" si="200"/>
        <v>126.81156664573933</v>
      </c>
      <c r="Q80" s="16">
        <f t="shared" si="201"/>
        <v>115.10458953398103</v>
      </c>
      <c r="R80" s="16">
        <f t="shared" si="202"/>
        <v>104.74089473192747</v>
      </c>
      <c r="S80" s="16">
        <f t="shared" si="203"/>
        <v>95.741404816158365</v>
      </c>
      <c r="T80" s="16">
        <f t="shared" si="204"/>
        <v>88.109309271680473</v>
      </c>
      <c r="U80" s="16">
        <f t="shared" si="205"/>
        <v>81.831133667011073</v>
      </c>
      <c r="V80" s="16">
        <f t="shared" si="206"/>
        <v>76.877983235760027</v>
      </c>
      <c r="W80" s="16">
        <f t="shared" si="207"/>
        <v>73.206890301362364</v>
      </c>
      <c r="X80" s="16">
        <f t="shared" si="208"/>
        <v>70.762203217829011</v>
      </c>
      <c r="Y80" s="16">
        <f t="shared" si="209"/>
        <v>69.47696552483346</v>
      </c>
      <c r="Z80" s="16">
        <f t="shared" si="210"/>
        <v>69.274246568514442</v>
      </c>
      <c r="AA80" s="16">
        <f t="shared" si="211"/>
        <v>70.068397679613653</v>
      </c>
      <c r="AB80" s="16">
        <f t="shared" si="212"/>
        <v>71.766220025098917</v>
      </c>
      <c r="AC80" s="16">
        <f t="shared" si="213"/>
        <v>74.268040586317142</v>
      </c>
      <c r="AD80" s="16">
        <f t="shared" si="214"/>
        <v>77.468700787505355</v>
      </c>
      <c r="AE80" s="16">
        <f t="shared" si="215"/>
        <v>81.25846784535824</v>
      </c>
      <c r="AF80" s="16">
        <f t="shared" si="216"/>
        <v>85.523881987496125</v>
      </c>
      <c r="AG80" s="16">
        <f t="shared" si="217"/>
        <v>90.148553619712743</v>
      </c>
      <c r="AH80" s="16">
        <f t="shared" si="218"/>
        <v>95.013923835586695</v>
      </c>
      <c r="AI80" s="15">
        <v>100</v>
      </c>
      <c r="AK80" s="1"/>
      <c r="AL80" s="20">
        <f t="shared" si="219"/>
        <v>-1076400000</v>
      </c>
      <c r="AM80" s="17">
        <f t="shared" si="255"/>
        <v>-1004606819.9194956</v>
      </c>
      <c r="AN80" s="17">
        <f t="shared" si="256"/>
        <v>-933453241.23743784</v>
      </c>
      <c r="AO80" s="17">
        <f t="shared" si="257"/>
        <v>-863566624.2078892</v>
      </c>
      <c r="AP80" s="17">
        <f t="shared" si="258"/>
        <v>-795550278.76915598</v>
      </c>
      <c r="AQ80" s="17">
        <f t="shared" si="259"/>
        <v>-729972493.59031737</v>
      </c>
      <c r="AR80" s="17">
        <f t="shared" si="260"/>
        <v>-667356760.18026507</v>
      </c>
      <c r="AS80" s="17">
        <f t="shared" si="261"/>
        <v>-608173479.74753451</v>
      </c>
      <c r="AT80" s="17">
        <f t="shared" si="262"/>
        <v>-552833356.99243593</v>
      </c>
      <c r="AU80" s="17">
        <f t="shared" si="263"/>
        <v>-501682593.5454942</v>
      </c>
      <c r="AV80" s="17">
        <f t="shared" si="264"/>
        <v>-454999901.12491268</v>
      </c>
      <c r="AW80" s="17">
        <f t="shared" si="265"/>
        <v>-412995267.24792385</v>
      </c>
      <c r="AX80" s="17">
        <f t="shared" si="266"/>
        <v>-375810330.29815573</v>
      </c>
      <c r="AY80" s="17">
        <f t="shared" si="267"/>
        <v>-343520160.48037618</v>
      </c>
      <c r="AZ80" s="17">
        <f t="shared" si="268"/>
        <v>-316136201.66678953</v>
      </c>
      <c r="BA80" s="17">
        <f t="shared" si="269"/>
        <v>-293610107.59723568</v>
      </c>
      <c r="BB80" s="17">
        <f t="shared" si="270"/>
        <v>-275838203.84990698</v>
      </c>
      <c r="BC80" s="17">
        <f t="shared" si="271"/>
        <v>-262666322.40128815</v>
      </c>
      <c r="BD80" s="17">
        <f t="shared" si="272"/>
        <v>-253894785.14557049</v>
      </c>
      <c r="BE80" s="17">
        <f t="shared" si="273"/>
        <v>-249283352.3031024</v>
      </c>
      <c r="BF80" s="17">
        <f t="shared" si="274"/>
        <v>-248555996.68782976</v>
      </c>
      <c r="BG80" s="17">
        <f t="shared" si="275"/>
        <v>-251405410.87445378</v>
      </c>
      <c r="BH80" s="17">
        <f t="shared" si="276"/>
        <v>-257497197.45005497</v>
      </c>
      <c r="BI80" s="17">
        <f t="shared" si="277"/>
        <v>-266473729.62370589</v>
      </c>
      <c r="BJ80" s="17">
        <f t="shared" si="226"/>
        <v>-277957698.42556924</v>
      </c>
      <c r="BK80" s="17">
        <f t="shared" si="227"/>
        <v>-291555382.62914538</v>
      </c>
      <c r="BL80" s="17">
        <f t="shared" si="228"/>
        <v>-306859688.57113606</v>
      </c>
      <c r="BM80" s="17">
        <f t="shared" si="229"/>
        <v>-323453010.38752931</v>
      </c>
      <c r="BN80" s="17">
        <f t="shared" si="230"/>
        <v>-340909958.72208512</v>
      </c>
      <c r="BO80" s="20">
        <f t="shared" si="231"/>
        <v>-358800000</v>
      </c>
      <c r="BQ80" s="1"/>
      <c r="BR80" s="20">
        <f t="shared" si="190"/>
        <v>0.39484815640727794</v>
      </c>
      <c r="BS80" s="17">
        <f t="shared" si="232"/>
        <v>0.39484815640727794</v>
      </c>
      <c r="BT80" s="17">
        <f t="shared" si="233"/>
        <v>0.39484815640727794</v>
      </c>
      <c r="BU80" s="17">
        <f t="shared" si="234"/>
        <v>0.39484815640727794</v>
      </c>
      <c r="BV80" s="17">
        <f t="shared" si="235"/>
        <v>0.39484815640727794</v>
      </c>
      <c r="BW80" s="17">
        <f t="shared" si="236"/>
        <v>0.39484815640727794</v>
      </c>
      <c r="BX80" s="17">
        <f t="shared" si="237"/>
        <v>0.39484815640727794</v>
      </c>
      <c r="BY80" s="17">
        <f t="shared" si="238"/>
        <v>0.39484815640727794</v>
      </c>
      <c r="BZ80" s="17">
        <f t="shared" si="239"/>
        <v>0.39484815640727794</v>
      </c>
      <c r="CA80" s="17">
        <f t="shared" si="240"/>
        <v>0.39484815640727794</v>
      </c>
      <c r="CB80" s="17">
        <f t="shared" si="241"/>
        <v>0.39484815640727794</v>
      </c>
      <c r="CC80" s="17">
        <f t="shared" si="242"/>
        <v>0.39484815640727794</v>
      </c>
      <c r="CD80" s="17">
        <f t="shared" si="243"/>
        <v>0.39484815640727794</v>
      </c>
      <c r="CE80" s="17">
        <f t="shared" si="244"/>
        <v>0.39484815640727794</v>
      </c>
      <c r="CF80" s="17">
        <f t="shared" si="245"/>
        <v>0.39484815640727794</v>
      </c>
      <c r="CG80" s="17">
        <f t="shared" si="246"/>
        <v>0.39484815640727794</v>
      </c>
      <c r="CH80" s="17">
        <f t="shared" si="247"/>
        <v>0.39484815640727794</v>
      </c>
      <c r="CI80" s="17">
        <f t="shared" si="248"/>
        <v>0.39484815640727794</v>
      </c>
      <c r="CJ80" s="17">
        <f t="shared" si="249"/>
        <v>0.39484815640727794</v>
      </c>
      <c r="CK80" s="17">
        <f t="shared" si="250"/>
        <v>0.39484815640727794</v>
      </c>
      <c r="CL80" s="17">
        <f t="shared" si="251"/>
        <v>0.39484815640727794</v>
      </c>
      <c r="CM80" s="17">
        <f t="shared" si="252"/>
        <v>0.39484815640727794</v>
      </c>
      <c r="CN80" s="17">
        <f t="shared" si="253"/>
        <v>0.39484815640727794</v>
      </c>
      <c r="CO80" s="17">
        <f t="shared" si="254"/>
        <v>0.39484815640727794</v>
      </c>
      <c r="CP80" s="17">
        <f t="shared" si="220"/>
        <v>0.39484815640727794</v>
      </c>
      <c r="CQ80" s="17">
        <f t="shared" si="221"/>
        <v>0.39484815640727794</v>
      </c>
      <c r="CR80" s="17">
        <f t="shared" si="222"/>
        <v>0.39484815640727794</v>
      </c>
      <c r="CS80" s="17">
        <f t="shared" si="223"/>
        <v>0.39484815640727794</v>
      </c>
      <c r="CT80" s="17">
        <f t="shared" si="224"/>
        <v>0.39484815640727794</v>
      </c>
      <c r="CU80" s="20">
        <f t="shared" si="225"/>
        <v>0.39484815640727794</v>
      </c>
      <c r="CW80" s="1"/>
      <c r="CX80" s="20">
        <f t="shared" si="131"/>
        <v>181.54555307781661</v>
      </c>
      <c r="CY80" s="17">
        <f t="shared" si="132"/>
        <v>169.43692005577046</v>
      </c>
      <c r="CZ80" s="17">
        <f t="shared" si="133"/>
        <v>157.43616216344407</v>
      </c>
      <c r="DA80" s="17">
        <f t="shared" si="134"/>
        <v>145.64908993995192</v>
      </c>
      <c r="DB80" s="17">
        <f t="shared" si="135"/>
        <v>134.17745759973766</v>
      </c>
      <c r="DC80" s="17">
        <f t="shared" si="136"/>
        <v>123.11711267228456</v>
      </c>
      <c r="DD80" s="17">
        <f t="shared" si="137"/>
        <v>112.55634720099039</v>
      </c>
      <c r="DE80" s="17">
        <f t="shared" si="138"/>
        <v>102.57449902269272</v>
      </c>
      <c r="DF80" s="17">
        <f t="shared" si="139"/>
        <v>93.240837565085286</v>
      </c>
      <c r="DG80" s="17">
        <f t="shared" si="140"/>
        <v>84.613753172361768</v>
      </c>
      <c r="DH80" s="17">
        <f t="shared" si="141"/>
        <v>76.740253344550482</v>
      </c>
      <c r="DI80" s="17">
        <f t="shared" si="142"/>
        <v>69.655754562472154</v>
      </c>
      <c r="DJ80" s="17">
        <f t="shared" si="143"/>
        <v>63.384145546577123</v>
      </c>
      <c r="DK80" s="17">
        <f t="shared" si="144"/>
        <v>57.938087632655339</v>
      </c>
      <c r="DL80" s="17">
        <f t="shared" si="145"/>
        <v>53.319510943438743</v>
      </c>
      <c r="DM80" s="17">
        <f t="shared" si="146"/>
        <v>49.520261401874201</v>
      </c>
      <c r="DN80" s="17">
        <f t="shared" si="147"/>
        <v>46.522853286810545</v>
      </c>
      <c r="DO80" s="17">
        <f t="shared" si="148"/>
        <v>44.301284629559589</v>
      </c>
      <c r="DP80" s="17">
        <f t="shared" si="149"/>
        <v>42.821877733952064</v>
      </c>
      <c r="DQ80" s="17">
        <f t="shared" si="150"/>
        <v>42.04411377458095</v>
      </c>
      <c r="DR80" s="17">
        <f t="shared" si="151"/>
        <v>41.9214380244333</v>
      </c>
      <c r="DS80" s="17">
        <f t="shared" si="152"/>
        <v>42.402020033406203</v>
      </c>
      <c r="DT80" s="17">
        <f t="shared" si="153"/>
        <v>43.42946035586953</v>
      </c>
      <c r="DU80" s="17">
        <f t="shared" si="154"/>
        <v>44.943441680828919</v>
      </c>
      <c r="DV80" s="17">
        <f t="shared" si="155"/>
        <v>46.880327102291822</v>
      </c>
      <c r="DW80" s="17">
        <f t="shared" si="156"/>
        <v>49.173711624138463</v>
      </c>
      <c r="DX80" s="17">
        <f t="shared" si="157"/>
        <v>51.754934855939666</v>
      </c>
      <c r="DY80" s="17">
        <f t="shared" si="158"/>
        <v>54.553563420186521</v>
      </c>
      <c r="DZ80" s="17">
        <f t="shared" si="159"/>
        <v>57.497851176083763</v>
      </c>
      <c r="EA80" s="20">
        <f t="shared" si="160"/>
        <v>60.515184359272197</v>
      </c>
    </row>
    <row r="81" spans="5:131" x14ac:dyDescent="0.25">
      <c r="E81" s="1"/>
      <c r="F81" s="15">
        <v>300</v>
      </c>
      <c r="G81" s="16">
        <f t="shared" si="191"/>
        <v>279.99075248592402</v>
      </c>
      <c r="H81" s="16">
        <f t="shared" si="192"/>
        <v>260.1597662311699</v>
      </c>
      <c r="I81" s="16">
        <f t="shared" si="193"/>
        <v>240.68189080487434</v>
      </c>
      <c r="J81" s="16">
        <f t="shared" si="194"/>
        <v>221.72527278961985</v>
      </c>
      <c r="K81" s="16">
        <f t="shared" si="195"/>
        <v>203.44829810209512</v>
      </c>
      <c r="L81" s="16">
        <f t="shared" si="196"/>
        <v>185.99686738580408</v>
      </c>
      <c r="M81" s="16">
        <f t="shared" si="197"/>
        <v>169.50208465650348</v>
      </c>
      <c r="N81" s="16">
        <f t="shared" si="198"/>
        <v>154.0784161071449</v>
      </c>
      <c r="O81" s="16">
        <f t="shared" si="199"/>
        <v>139.8223504864811</v>
      </c>
      <c r="P81" s="16">
        <f t="shared" si="200"/>
        <v>126.8115666457393</v>
      </c>
      <c r="Q81" s="16">
        <f t="shared" si="201"/>
        <v>115.10458953398101</v>
      </c>
      <c r="R81" s="16">
        <f t="shared" si="202"/>
        <v>104.74089473192744</v>
      </c>
      <c r="S81" s="16">
        <f t="shared" si="203"/>
        <v>95.741404816158351</v>
      </c>
      <c r="T81" s="16">
        <f t="shared" si="204"/>
        <v>88.109309271680445</v>
      </c>
      <c r="U81" s="16">
        <f t="shared" si="205"/>
        <v>81.831133667011045</v>
      </c>
      <c r="V81" s="16">
        <f t="shared" si="206"/>
        <v>76.877983235759999</v>
      </c>
      <c r="W81" s="16">
        <f t="shared" si="207"/>
        <v>73.20689030136235</v>
      </c>
      <c r="X81" s="16">
        <f t="shared" si="208"/>
        <v>70.762203217828997</v>
      </c>
      <c r="Y81" s="16">
        <f t="shared" si="209"/>
        <v>69.476965524833446</v>
      </c>
      <c r="Z81" s="16">
        <f t="shared" si="210"/>
        <v>69.274246568514428</v>
      </c>
      <c r="AA81" s="16">
        <f t="shared" si="211"/>
        <v>70.068397679613639</v>
      </c>
      <c r="AB81" s="16">
        <f t="shared" si="212"/>
        <v>71.766220025098903</v>
      </c>
      <c r="AC81" s="16">
        <f t="shared" si="213"/>
        <v>74.268040586317127</v>
      </c>
      <c r="AD81" s="16">
        <f t="shared" si="214"/>
        <v>77.468700787505341</v>
      </c>
      <c r="AE81" s="16">
        <f t="shared" si="215"/>
        <v>81.25846784535824</v>
      </c>
      <c r="AF81" s="16">
        <f t="shared" si="216"/>
        <v>85.523881987496111</v>
      </c>
      <c r="AG81" s="16">
        <f t="shared" si="217"/>
        <v>90.148553619712743</v>
      </c>
      <c r="AH81" s="16">
        <f t="shared" si="218"/>
        <v>95.013923835586695</v>
      </c>
      <c r="AI81" s="15">
        <v>100</v>
      </c>
      <c r="AK81" s="1"/>
      <c r="AL81" s="20">
        <f t="shared" si="219"/>
        <v>-1076400000</v>
      </c>
      <c r="AM81" s="17">
        <f t="shared" si="255"/>
        <v>-1004606819.9194953</v>
      </c>
      <c r="AN81" s="17">
        <f t="shared" si="256"/>
        <v>-933453241.23743761</v>
      </c>
      <c r="AO81" s="17">
        <f t="shared" si="257"/>
        <v>-863566624.20788896</v>
      </c>
      <c r="AP81" s="17">
        <f t="shared" si="258"/>
        <v>-795550278.76915598</v>
      </c>
      <c r="AQ81" s="17">
        <f t="shared" si="259"/>
        <v>-729972493.59031725</v>
      </c>
      <c r="AR81" s="17">
        <f t="shared" si="260"/>
        <v>-667356760.18026495</v>
      </c>
      <c r="AS81" s="17">
        <f t="shared" si="261"/>
        <v>-608173479.74753439</v>
      </c>
      <c r="AT81" s="17">
        <f t="shared" si="262"/>
        <v>-552833356.99243593</v>
      </c>
      <c r="AU81" s="17">
        <f t="shared" si="263"/>
        <v>-501682593.54549408</v>
      </c>
      <c r="AV81" s="17">
        <f t="shared" si="264"/>
        <v>-454999901.12491262</v>
      </c>
      <c r="AW81" s="17">
        <f t="shared" si="265"/>
        <v>-412995267.24792385</v>
      </c>
      <c r="AX81" s="17">
        <f t="shared" si="266"/>
        <v>-375810330.29815561</v>
      </c>
      <c r="AY81" s="17">
        <f t="shared" si="267"/>
        <v>-343520160.48037612</v>
      </c>
      <c r="AZ81" s="17">
        <f t="shared" si="268"/>
        <v>-316136201.66678941</v>
      </c>
      <c r="BA81" s="17">
        <f t="shared" si="269"/>
        <v>-293610107.59723562</v>
      </c>
      <c r="BB81" s="17">
        <f t="shared" si="270"/>
        <v>-275838203.84990692</v>
      </c>
      <c r="BC81" s="17">
        <f t="shared" si="271"/>
        <v>-262666322.40128806</v>
      </c>
      <c r="BD81" s="17">
        <f t="shared" si="272"/>
        <v>-253894785.1455704</v>
      </c>
      <c r="BE81" s="17">
        <f t="shared" si="273"/>
        <v>-249283352.3031024</v>
      </c>
      <c r="BF81" s="17">
        <f t="shared" si="274"/>
        <v>-248555996.6878297</v>
      </c>
      <c r="BG81" s="17">
        <f t="shared" si="275"/>
        <v>-251405410.87445369</v>
      </c>
      <c r="BH81" s="17">
        <f t="shared" si="276"/>
        <v>-257497197.45005482</v>
      </c>
      <c r="BI81" s="17">
        <f t="shared" si="277"/>
        <v>-266473729.6237058</v>
      </c>
      <c r="BJ81" s="17">
        <f t="shared" si="226"/>
        <v>-277957698.42556918</v>
      </c>
      <c r="BK81" s="17">
        <f t="shared" si="227"/>
        <v>-291555382.62914538</v>
      </c>
      <c r="BL81" s="17">
        <f t="shared" si="228"/>
        <v>-306859688.57113606</v>
      </c>
      <c r="BM81" s="17">
        <f t="shared" si="229"/>
        <v>-323453010.38752931</v>
      </c>
      <c r="BN81" s="17">
        <f t="shared" si="230"/>
        <v>-340909958.72208512</v>
      </c>
      <c r="BO81" s="20">
        <f t="shared" si="231"/>
        <v>-358800000</v>
      </c>
      <c r="BQ81" s="1"/>
      <c r="BR81" s="20">
        <f t="shared" si="190"/>
        <v>0.39484815655420619</v>
      </c>
      <c r="BS81" s="17">
        <f t="shared" si="232"/>
        <v>0.39484815655420619</v>
      </c>
      <c r="BT81" s="17">
        <f t="shared" si="233"/>
        <v>0.39484815655420619</v>
      </c>
      <c r="BU81" s="17">
        <f t="shared" si="234"/>
        <v>0.39484815655420619</v>
      </c>
      <c r="BV81" s="17">
        <f t="shared" si="235"/>
        <v>0.39484815655420619</v>
      </c>
      <c r="BW81" s="17">
        <f t="shared" si="236"/>
        <v>0.39484815655420619</v>
      </c>
      <c r="BX81" s="17">
        <f t="shared" si="237"/>
        <v>0.39484815655420619</v>
      </c>
      <c r="BY81" s="17">
        <f t="shared" si="238"/>
        <v>0.39484815655420619</v>
      </c>
      <c r="BZ81" s="17">
        <f t="shared" si="239"/>
        <v>0.39484815655420619</v>
      </c>
      <c r="CA81" s="17">
        <f t="shared" si="240"/>
        <v>0.39484815655420619</v>
      </c>
      <c r="CB81" s="17">
        <f t="shared" si="241"/>
        <v>0.39484815655420619</v>
      </c>
      <c r="CC81" s="17">
        <f t="shared" si="242"/>
        <v>0.39484815655420619</v>
      </c>
      <c r="CD81" s="17">
        <f t="shared" si="243"/>
        <v>0.39484815655420619</v>
      </c>
      <c r="CE81" s="17">
        <f t="shared" si="244"/>
        <v>0.39484815655420619</v>
      </c>
      <c r="CF81" s="17">
        <f t="shared" si="245"/>
        <v>0.39484815655420619</v>
      </c>
      <c r="CG81" s="17">
        <f t="shared" si="246"/>
        <v>0.39484815655420619</v>
      </c>
      <c r="CH81" s="17">
        <f t="shared" si="247"/>
        <v>0.39484815655420619</v>
      </c>
      <c r="CI81" s="17">
        <f t="shared" si="248"/>
        <v>0.39484815655420619</v>
      </c>
      <c r="CJ81" s="17">
        <f t="shared" si="249"/>
        <v>0.39484815655420619</v>
      </c>
      <c r="CK81" s="17">
        <f t="shared" si="250"/>
        <v>0.39484815655420619</v>
      </c>
      <c r="CL81" s="17">
        <f t="shared" si="251"/>
        <v>0.39484815655420619</v>
      </c>
      <c r="CM81" s="17">
        <f t="shared" si="252"/>
        <v>0.39484815655420619</v>
      </c>
      <c r="CN81" s="17">
        <f t="shared" si="253"/>
        <v>0.39484815655420619</v>
      </c>
      <c r="CO81" s="17">
        <f t="shared" si="254"/>
        <v>0.39484815655420619</v>
      </c>
      <c r="CP81" s="17">
        <f t="shared" si="220"/>
        <v>0.39484815655420619</v>
      </c>
      <c r="CQ81" s="17">
        <f t="shared" si="221"/>
        <v>0.39484815655420619</v>
      </c>
      <c r="CR81" s="17">
        <f t="shared" si="222"/>
        <v>0.39484815655420619</v>
      </c>
      <c r="CS81" s="17">
        <f t="shared" si="223"/>
        <v>0.39484815655420619</v>
      </c>
      <c r="CT81" s="17">
        <f t="shared" si="224"/>
        <v>0.39484815655420619</v>
      </c>
      <c r="CU81" s="20">
        <f t="shared" si="225"/>
        <v>0.39484815655420619</v>
      </c>
      <c r="CW81" s="1"/>
      <c r="CX81" s="20">
        <f t="shared" si="131"/>
        <v>181.54555303373812</v>
      </c>
      <c r="CY81" s="17">
        <f t="shared" si="132"/>
        <v>169.43692001463188</v>
      </c>
      <c r="CZ81" s="17">
        <f t="shared" si="133"/>
        <v>157.43616212521925</v>
      </c>
      <c r="DA81" s="17">
        <f t="shared" si="134"/>
        <v>145.64908990458895</v>
      </c>
      <c r="DB81" s="17">
        <f t="shared" si="135"/>
        <v>134.17745756715996</v>
      </c>
      <c r="DC81" s="17">
        <f t="shared" si="136"/>
        <v>123.11711264239223</v>
      </c>
      <c r="DD81" s="17">
        <f t="shared" si="137"/>
        <v>112.55634717366216</v>
      </c>
      <c r="DE81" s="17">
        <f t="shared" si="138"/>
        <v>102.57449899778807</v>
      </c>
      <c r="DF81" s="17">
        <f t="shared" si="139"/>
        <v>93.240837542446826</v>
      </c>
      <c r="DG81" s="17">
        <f t="shared" si="140"/>
        <v>84.613753151817903</v>
      </c>
      <c r="DH81" s="17">
        <f t="shared" si="141"/>
        <v>76.740253325918275</v>
      </c>
      <c r="DI81" s="17">
        <f t="shared" si="142"/>
        <v>69.655754545560029</v>
      </c>
      <c r="DJ81" s="17">
        <f t="shared" si="143"/>
        <v>63.384145531187713</v>
      </c>
      <c r="DK81" s="17">
        <f t="shared" si="144"/>
        <v>57.93808761858822</v>
      </c>
      <c r="DL81" s="17">
        <f t="shared" si="145"/>
        <v>53.319510930492982</v>
      </c>
      <c r="DM81" s="17">
        <f t="shared" si="146"/>
        <v>49.520261389850894</v>
      </c>
      <c r="DN81" s="17">
        <f t="shared" si="147"/>
        <v>46.52285327551499</v>
      </c>
      <c r="DO81" s="17">
        <f t="shared" si="148"/>
        <v>44.301284618803422</v>
      </c>
      <c r="DP81" s="17">
        <f t="shared" si="149"/>
        <v>42.82187772355509</v>
      </c>
      <c r="DQ81" s="17">
        <f t="shared" si="150"/>
        <v>42.044113764372817</v>
      </c>
      <c r="DR81" s="17">
        <f t="shared" si="151"/>
        <v>41.921438014254953</v>
      </c>
      <c r="DS81" s="17">
        <f t="shared" si="152"/>
        <v>42.40202002311117</v>
      </c>
      <c r="DT81" s="17">
        <f t="shared" si="153"/>
        <v>43.429460345325033</v>
      </c>
      <c r="DU81" s="17">
        <f t="shared" si="154"/>
        <v>44.943441669916837</v>
      </c>
      <c r="DV81" s="17">
        <f t="shared" si="155"/>
        <v>46.880327090909475</v>
      </c>
      <c r="DW81" s="17">
        <f t="shared" si="156"/>
        <v>49.173711612199298</v>
      </c>
      <c r="DX81" s="17">
        <f t="shared" si="157"/>
        <v>51.754934843373789</v>
      </c>
      <c r="DY81" s="17">
        <f t="shared" si="158"/>
        <v>54.553563406941151</v>
      </c>
      <c r="DZ81" s="17">
        <f t="shared" si="159"/>
        <v>57.497851162123538</v>
      </c>
      <c r="EA81" s="20">
        <f t="shared" si="160"/>
        <v>60.515184344579374</v>
      </c>
    </row>
    <row r="82" spans="5:131" x14ac:dyDescent="0.25">
      <c r="E82" s="1"/>
      <c r="F82" s="15">
        <v>300</v>
      </c>
      <c r="G82" s="16">
        <f t="shared" si="191"/>
        <v>279.99075248592408</v>
      </c>
      <c r="H82" s="16">
        <f t="shared" si="192"/>
        <v>260.15976623116995</v>
      </c>
      <c r="I82" s="16">
        <f t="shared" si="193"/>
        <v>240.68189080487437</v>
      </c>
      <c r="J82" s="16">
        <f t="shared" si="194"/>
        <v>221.72527278961985</v>
      </c>
      <c r="K82" s="16">
        <f t="shared" si="195"/>
        <v>203.44829810209512</v>
      </c>
      <c r="L82" s="16">
        <f t="shared" si="196"/>
        <v>185.99686738580408</v>
      </c>
      <c r="M82" s="16">
        <f t="shared" si="197"/>
        <v>169.50208465650348</v>
      </c>
      <c r="N82" s="16">
        <f t="shared" si="198"/>
        <v>154.07841610714493</v>
      </c>
      <c r="O82" s="16">
        <f t="shared" si="199"/>
        <v>139.82235048648113</v>
      </c>
      <c r="P82" s="16">
        <f t="shared" si="200"/>
        <v>126.8115666457393</v>
      </c>
      <c r="Q82" s="16">
        <f t="shared" si="201"/>
        <v>115.10458953398103</v>
      </c>
      <c r="R82" s="16">
        <f t="shared" si="202"/>
        <v>104.74089473192745</v>
      </c>
      <c r="S82" s="16">
        <f t="shared" si="203"/>
        <v>95.741404816158351</v>
      </c>
      <c r="T82" s="16">
        <f t="shared" si="204"/>
        <v>88.109309271680445</v>
      </c>
      <c r="U82" s="16">
        <f t="shared" si="205"/>
        <v>81.831133667011045</v>
      </c>
      <c r="V82" s="16">
        <f t="shared" si="206"/>
        <v>76.877983235760013</v>
      </c>
      <c r="W82" s="16">
        <f t="shared" si="207"/>
        <v>73.206890301362336</v>
      </c>
      <c r="X82" s="16">
        <f t="shared" si="208"/>
        <v>70.762203217828983</v>
      </c>
      <c r="Y82" s="16">
        <f t="shared" si="209"/>
        <v>69.476965524833446</v>
      </c>
      <c r="Z82" s="16">
        <f t="shared" si="210"/>
        <v>69.274246568514428</v>
      </c>
      <c r="AA82" s="16">
        <f t="shared" si="211"/>
        <v>70.068397679613639</v>
      </c>
      <c r="AB82" s="16">
        <f t="shared" si="212"/>
        <v>71.766220025098903</v>
      </c>
      <c r="AC82" s="16">
        <f t="shared" si="213"/>
        <v>74.268040586317127</v>
      </c>
      <c r="AD82" s="16">
        <f t="shared" si="214"/>
        <v>77.468700787505355</v>
      </c>
      <c r="AE82" s="16">
        <f t="shared" si="215"/>
        <v>81.25846784535824</v>
      </c>
      <c r="AF82" s="16">
        <f t="shared" si="216"/>
        <v>85.523881987496111</v>
      </c>
      <c r="AG82" s="16">
        <f t="shared" si="217"/>
        <v>90.148553619712743</v>
      </c>
      <c r="AH82" s="16">
        <f t="shared" si="218"/>
        <v>95.013923835586695</v>
      </c>
      <c r="AI82" s="15">
        <v>100</v>
      </c>
      <c r="AK82" s="1"/>
      <c r="AL82" s="20">
        <f t="shared" si="219"/>
        <v>-1076400000</v>
      </c>
      <c r="AM82" s="17">
        <f t="shared" si="255"/>
        <v>-1004606819.9194956</v>
      </c>
      <c r="AN82" s="17">
        <f t="shared" si="256"/>
        <v>-933453241.23743784</v>
      </c>
      <c r="AO82" s="17">
        <f t="shared" si="257"/>
        <v>-863566624.2078892</v>
      </c>
      <c r="AP82" s="17">
        <f t="shared" si="258"/>
        <v>-795550278.76915598</v>
      </c>
      <c r="AQ82" s="17">
        <f t="shared" si="259"/>
        <v>-729972493.59031737</v>
      </c>
      <c r="AR82" s="17">
        <f t="shared" si="260"/>
        <v>-667356760.18026507</v>
      </c>
      <c r="AS82" s="17">
        <f t="shared" si="261"/>
        <v>-608173479.74753451</v>
      </c>
      <c r="AT82" s="17">
        <f t="shared" si="262"/>
        <v>-552833356.99243605</v>
      </c>
      <c r="AU82" s="17">
        <f t="shared" si="263"/>
        <v>-501682593.5454942</v>
      </c>
      <c r="AV82" s="17">
        <f t="shared" si="264"/>
        <v>-454999901.12491268</v>
      </c>
      <c r="AW82" s="17">
        <f t="shared" si="265"/>
        <v>-412995267.24792385</v>
      </c>
      <c r="AX82" s="17">
        <f t="shared" si="266"/>
        <v>-375810330.29815573</v>
      </c>
      <c r="AY82" s="17">
        <f t="shared" si="267"/>
        <v>-343520160.48037612</v>
      </c>
      <c r="AZ82" s="17">
        <f t="shared" si="268"/>
        <v>-316136201.66678941</v>
      </c>
      <c r="BA82" s="17">
        <f t="shared" si="269"/>
        <v>-293610107.59723562</v>
      </c>
      <c r="BB82" s="17">
        <f t="shared" si="270"/>
        <v>-275838203.84990692</v>
      </c>
      <c r="BC82" s="17">
        <f t="shared" si="271"/>
        <v>-262666322.40128806</v>
      </c>
      <c r="BD82" s="17">
        <f t="shared" si="272"/>
        <v>-253894785.1455704</v>
      </c>
      <c r="BE82" s="17">
        <f t="shared" si="273"/>
        <v>-249283352.3031024</v>
      </c>
      <c r="BF82" s="17">
        <f t="shared" si="274"/>
        <v>-248555996.6878297</v>
      </c>
      <c r="BG82" s="17">
        <f t="shared" si="275"/>
        <v>-251405410.87445372</v>
      </c>
      <c r="BH82" s="17">
        <f t="shared" si="276"/>
        <v>-257497197.45005485</v>
      </c>
      <c r="BI82" s="17">
        <f t="shared" si="277"/>
        <v>-266473729.62370586</v>
      </c>
      <c r="BJ82" s="17">
        <f t="shared" si="226"/>
        <v>-277957698.42556924</v>
      </c>
      <c r="BK82" s="17">
        <f t="shared" si="227"/>
        <v>-291555382.62914538</v>
      </c>
      <c r="BL82" s="17">
        <f t="shared" si="228"/>
        <v>-306859688.57113606</v>
      </c>
      <c r="BM82" s="17">
        <f t="shared" si="229"/>
        <v>-323453010.38752931</v>
      </c>
      <c r="BN82" s="17">
        <f t="shared" si="230"/>
        <v>-340909958.72208512</v>
      </c>
      <c r="BO82" s="20">
        <f t="shared" si="231"/>
        <v>-358800000</v>
      </c>
      <c r="BQ82" s="1"/>
      <c r="BR82" s="20">
        <f t="shared" si="190"/>
        <v>0.39484815749662755</v>
      </c>
      <c r="BS82" s="17">
        <f t="shared" si="232"/>
        <v>0.39484815749662755</v>
      </c>
      <c r="BT82" s="17">
        <f t="shared" si="233"/>
        <v>0.39484815749662755</v>
      </c>
      <c r="BU82" s="17">
        <f t="shared" si="234"/>
        <v>0.39484815749662755</v>
      </c>
      <c r="BV82" s="17">
        <f t="shared" si="235"/>
        <v>0.39484815749662755</v>
      </c>
      <c r="BW82" s="17">
        <f t="shared" si="236"/>
        <v>0.39484815749662755</v>
      </c>
      <c r="BX82" s="17">
        <f t="shared" si="237"/>
        <v>0.39484815749662755</v>
      </c>
      <c r="BY82" s="17">
        <f t="shared" si="238"/>
        <v>0.39484815749662755</v>
      </c>
      <c r="BZ82" s="17">
        <f t="shared" si="239"/>
        <v>0.39484815749662755</v>
      </c>
      <c r="CA82" s="17">
        <f t="shared" si="240"/>
        <v>0.39484815749662755</v>
      </c>
      <c r="CB82" s="17">
        <f t="shared" si="241"/>
        <v>0.39484815749662755</v>
      </c>
      <c r="CC82" s="17">
        <f t="shared" si="242"/>
        <v>0.39484815749662755</v>
      </c>
      <c r="CD82" s="17">
        <f t="shared" si="243"/>
        <v>0.39484815749662755</v>
      </c>
      <c r="CE82" s="17">
        <f t="shared" si="244"/>
        <v>0.39484815749662755</v>
      </c>
      <c r="CF82" s="17">
        <f t="shared" si="245"/>
        <v>0.39484815749662755</v>
      </c>
      <c r="CG82" s="17">
        <f t="shared" si="246"/>
        <v>0.39484815749662755</v>
      </c>
      <c r="CH82" s="17">
        <f t="shared" si="247"/>
        <v>0.39484815749662755</v>
      </c>
      <c r="CI82" s="17">
        <f t="shared" si="248"/>
        <v>0.39484815749662755</v>
      </c>
      <c r="CJ82" s="17">
        <f t="shared" si="249"/>
        <v>0.39484815749662755</v>
      </c>
      <c r="CK82" s="17">
        <f t="shared" si="250"/>
        <v>0.39484815749662755</v>
      </c>
      <c r="CL82" s="17">
        <f t="shared" si="251"/>
        <v>0.39484815749662755</v>
      </c>
      <c r="CM82" s="17">
        <f t="shared" si="252"/>
        <v>0.39484815749662755</v>
      </c>
      <c r="CN82" s="17">
        <f t="shared" si="253"/>
        <v>0.39484815749662755</v>
      </c>
      <c r="CO82" s="17">
        <f t="shared" si="254"/>
        <v>0.39484815749662755</v>
      </c>
      <c r="CP82" s="17">
        <f t="shared" si="220"/>
        <v>0.39484815749662755</v>
      </c>
      <c r="CQ82" s="17">
        <f t="shared" si="221"/>
        <v>0.39484815749662755</v>
      </c>
      <c r="CR82" s="17">
        <f t="shared" si="222"/>
        <v>0.39484815749662755</v>
      </c>
      <c r="CS82" s="17">
        <f t="shared" si="223"/>
        <v>0.39484815749662755</v>
      </c>
      <c r="CT82" s="17">
        <f t="shared" si="224"/>
        <v>0.39484815749662755</v>
      </c>
      <c r="CU82" s="20">
        <f t="shared" si="225"/>
        <v>0.39484815749662755</v>
      </c>
      <c r="CW82" s="1"/>
      <c r="CX82" s="20">
        <f t="shared" si="131"/>
        <v>181.54555275101177</v>
      </c>
      <c r="CY82" s="17">
        <f t="shared" si="132"/>
        <v>169.43691975076266</v>
      </c>
      <c r="CZ82" s="17">
        <f t="shared" si="133"/>
        <v>157.43616188003918</v>
      </c>
      <c r="DA82" s="17">
        <f t="shared" si="134"/>
        <v>145.64908967776523</v>
      </c>
      <c r="DB82" s="17">
        <f t="shared" si="135"/>
        <v>134.17745735820134</v>
      </c>
      <c r="DC82" s="17">
        <f t="shared" si="136"/>
        <v>123.11711245065824</v>
      </c>
      <c r="DD82" s="17">
        <f t="shared" si="137"/>
        <v>112.55634699837478</v>
      </c>
      <c r="DE82" s="17">
        <f t="shared" si="138"/>
        <v>102.57449883804571</v>
      </c>
      <c r="DF82" s="17">
        <f t="shared" si="139"/>
        <v>93.240837397240071</v>
      </c>
      <c r="DG82" s="17">
        <f t="shared" si="140"/>
        <v>84.613753020046374</v>
      </c>
      <c r="DH82" s="17">
        <f t="shared" si="141"/>
        <v>76.740253206408354</v>
      </c>
      <c r="DI82" s="17">
        <f t="shared" si="142"/>
        <v>69.655754437083019</v>
      </c>
      <c r="DJ82" s="17">
        <f t="shared" si="143"/>
        <v>63.384145432477681</v>
      </c>
      <c r="DK82" s="17">
        <f t="shared" si="144"/>
        <v>57.938087528359482</v>
      </c>
      <c r="DL82" s="17">
        <f t="shared" si="145"/>
        <v>53.319510847456897</v>
      </c>
      <c r="DM82" s="17">
        <f t="shared" si="146"/>
        <v>49.520261312731492</v>
      </c>
      <c r="DN82" s="17">
        <f t="shared" si="147"/>
        <v>46.522853203063548</v>
      </c>
      <c r="DO82" s="17">
        <f t="shared" si="148"/>
        <v>44.301284549811683</v>
      </c>
      <c r="DP82" s="17">
        <f t="shared" si="149"/>
        <v>42.821877656867279</v>
      </c>
      <c r="DQ82" s="17">
        <f t="shared" si="150"/>
        <v>42.044113698896247</v>
      </c>
      <c r="DR82" s="17">
        <f t="shared" si="151"/>
        <v>41.921437948969427</v>
      </c>
      <c r="DS82" s="17">
        <f t="shared" si="152"/>
        <v>42.402019957077222</v>
      </c>
      <c r="DT82" s="17">
        <f t="shared" si="153"/>
        <v>43.429460277691021</v>
      </c>
      <c r="DU82" s="17">
        <f t="shared" si="154"/>
        <v>44.943441599925059</v>
      </c>
      <c r="DV82" s="17">
        <f t="shared" si="155"/>
        <v>46.88032701790133</v>
      </c>
      <c r="DW82" s="17">
        <f t="shared" si="156"/>
        <v>49.173711535619589</v>
      </c>
      <c r="DX82" s="17">
        <f t="shared" si="157"/>
        <v>51.754934762774262</v>
      </c>
      <c r="DY82" s="17">
        <f t="shared" si="158"/>
        <v>54.553563321983241</v>
      </c>
      <c r="DZ82" s="17">
        <f t="shared" si="159"/>
        <v>57.497851072580396</v>
      </c>
      <c r="EA82" s="20">
        <f t="shared" si="160"/>
        <v>60.515184250337242</v>
      </c>
    </row>
    <row r="83" spans="5:131" x14ac:dyDescent="0.25">
      <c r="E83" s="1"/>
      <c r="F83" s="15">
        <v>300</v>
      </c>
      <c r="G83" s="16">
        <f t="shared" si="191"/>
        <v>279.99075248592413</v>
      </c>
      <c r="H83" s="16">
        <f t="shared" si="192"/>
        <v>260.15976623117001</v>
      </c>
      <c r="I83" s="16">
        <f t="shared" si="193"/>
        <v>240.6818908048744</v>
      </c>
      <c r="J83" s="16">
        <f t="shared" si="194"/>
        <v>221.72527278961985</v>
      </c>
      <c r="K83" s="16">
        <f t="shared" si="195"/>
        <v>203.44829810209518</v>
      </c>
      <c r="L83" s="16">
        <f t="shared" si="196"/>
        <v>185.99686738580414</v>
      </c>
      <c r="M83" s="16">
        <f t="shared" si="197"/>
        <v>169.50208465650354</v>
      </c>
      <c r="N83" s="16">
        <f t="shared" si="198"/>
        <v>154.07841610714499</v>
      </c>
      <c r="O83" s="16">
        <f t="shared" si="199"/>
        <v>139.82235048648116</v>
      </c>
      <c r="P83" s="16">
        <f t="shared" si="200"/>
        <v>126.81156664573935</v>
      </c>
      <c r="Q83" s="16">
        <f t="shared" si="201"/>
        <v>115.10458953398103</v>
      </c>
      <c r="R83" s="16">
        <f t="shared" si="202"/>
        <v>104.74089473192747</v>
      </c>
      <c r="S83" s="16">
        <f t="shared" si="203"/>
        <v>95.741404816158365</v>
      </c>
      <c r="T83" s="16">
        <f t="shared" si="204"/>
        <v>88.109309271680473</v>
      </c>
      <c r="U83" s="16">
        <f t="shared" si="205"/>
        <v>81.831133667011045</v>
      </c>
      <c r="V83" s="16">
        <f t="shared" si="206"/>
        <v>76.877983235760013</v>
      </c>
      <c r="W83" s="16">
        <f t="shared" si="207"/>
        <v>73.20689030136235</v>
      </c>
      <c r="X83" s="16">
        <f t="shared" si="208"/>
        <v>70.762203217828997</v>
      </c>
      <c r="Y83" s="16">
        <f t="shared" si="209"/>
        <v>69.47696552483346</v>
      </c>
      <c r="Z83" s="16">
        <f t="shared" si="210"/>
        <v>69.274246568514428</v>
      </c>
      <c r="AA83" s="16">
        <f t="shared" si="211"/>
        <v>70.068397679613639</v>
      </c>
      <c r="AB83" s="16">
        <f t="shared" si="212"/>
        <v>71.766220025098917</v>
      </c>
      <c r="AC83" s="16">
        <f t="shared" si="213"/>
        <v>74.268040586317142</v>
      </c>
      <c r="AD83" s="16">
        <f t="shared" si="214"/>
        <v>77.468700787505355</v>
      </c>
      <c r="AE83" s="16">
        <f t="shared" si="215"/>
        <v>81.258467845358268</v>
      </c>
      <c r="AF83" s="16">
        <f t="shared" si="216"/>
        <v>85.523881987496139</v>
      </c>
      <c r="AG83" s="16">
        <f t="shared" si="217"/>
        <v>90.148553619712771</v>
      </c>
      <c r="AH83" s="16">
        <f t="shared" si="218"/>
        <v>95.013923835586709</v>
      </c>
      <c r="AI83" s="15">
        <v>100</v>
      </c>
      <c r="AK83" s="1"/>
      <c r="AL83" s="20">
        <f t="shared" si="219"/>
        <v>-1076400000</v>
      </c>
      <c r="AM83" s="17">
        <f t="shared" si="255"/>
        <v>-1004606819.9194956</v>
      </c>
      <c r="AN83" s="17">
        <f t="shared" si="256"/>
        <v>-933453241.23743784</v>
      </c>
      <c r="AO83" s="17">
        <f t="shared" si="257"/>
        <v>-863566624.2078892</v>
      </c>
      <c r="AP83" s="17">
        <f t="shared" si="258"/>
        <v>-795550278.76915598</v>
      </c>
      <c r="AQ83" s="17">
        <f t="shared" si="259"/>
        <v>-729972493.59031749</v>
      </c>
      <c r="AR83" s="17">
        <f t="shared" si="260"/>
        <v>-667356760.18026519</v>
      </c>
      <c r="AS83" s="17">
        <f t="shared" si="261"/>
        <v>-608173479.74753463</v>
      </c>
      <c r="AT83" s="17">
        <f t="shared" si="262"/>
        <v>-552833356.99243617</v>
      </c>
      <c r="AU83" s="17">
        <f t="shared" si="263"/>
        <v>-501682593.54549426</v>
      </c>
      <c r="AV83" s="17">
        <f t="shared" si="264"/>
        <v>-454999901.12491274</v>
      </c>
      <c r="AW83" s="17">
        <f t="shared" si="265"/>
        <v>-412995267.24792385</v>
      </c>
      <c r="AX83" s="17">
        <f t="shared" si="266"/>
        <v>-375810330.29815573</v>
      </c>
      <c r="AY83" s="17">
        <f t="shared" si="267"/>
        <v>-343520160.48037618</v>
      </c>
      <c r="AZ83" s="17">
        <f t="shared" si="268"/>
        <v>-316136201.66678953</v>
      </c>
      <c r="BA83" s="17">
        <f t="shared" si="269"/>
        <v>-293610107.59723562</v>
      </c>
      <c r="BB83" s="17">
        <f t="shared" si="270"/>
        <v>-275838203.84990692</v>
      </c>
      <c r="BC83" s="17">
        <f t="shared" si="271"/>
        <v>-262666322.40128806</v>
      </c>
      <c r="BD83" s="17">
        <f t="shared" si="272"/>
        <v>-253894785.14557043</v>
      </c>
      <c r="BE83" s="17">
        <f t="shared" si="273"/>
        <v>-249283352.3031024</v>
      </c>
      <c r="BF83" s="17">
        <f t="shared" si="274"/>
        <v>-248555996.68782976</v>
      </c>
      <c r="BG83" s="17">
        <f t="shared" si="275"/>
        <v>-251405410.87445372</v>
      </c>
      <c r="BH83" s="17">
        <f t="shared" si="276"/>
        <v>-257497197.45005485</v>
      </c>
      <c r="BI83" s="17">
        <f t="shared" si="277"/>
        <v>-266473729.62370589</v>
      </c>
      <c r="BJ83" s="17">
        <f t="shared" si="226"/>
        <v>-277957698.42556924</v>
      </c>
      <c r="BK83" s="17">
        <f t="shared" si="227"/>
        <v>-291555382.62914544</v>
      </c>
      <c r="BL83" s="17">
        <f t="shared" si="228"/>
        <v>-306859688.57113612</v>
      </c>
      <c r="BM83" s="17">
        <f t="shared" si="229"/>
        <v>-323453010.38752943</v>
      </c>
      <c r="BN83" s="17">
        <f t="shared" si="230"/>
        <v>-340909958.72208512</v>
      </c>
      <c r="BO83" s="20">
        <f t="shared" si="231"/>
        <v>-358800000</v>
      </c>
      <c r="BQ83" s="1"/>
      <c r="BR83" s="20">
        <f t="shared" si="190"/>
        <v>0.39484816354146851</v>
      </c>
      <c r="BS83" s="17">
        <f t="shared" si="232"/>
        <v>0.39484816354146851</v>
      </c>
      <c r="BT83" s="17">
        <f t="shared" si="233"/>
        <v>0.39484816354146851</v>
      </c>
      <c r="BU83" s="17">
        <f t="shared" si="234"/>
        <v>0.39484816354146851</v>
      </c>
      <c r="BV83" s="17">
        <f t="shared" si="235"/>
        <v>0.39484816354146851</v>
      </c>
      <c r="BW83" s="17">
        <f t="shared" si="236"/>
        <v>0.39484816354146851</v>
      </c>
      <c r="BX83" s="17">
        <f t="shared" si="237"/>
        <v>0.39484816354146851</v>
      </c>
      <c r="BY83" s="17">
        <f t="shared" si="238"/>
        <v>0.39484816354146851</v>
      </c>
      <c r="BZ83" s="17">
        <f t="shared" si="239"/>
        <v>0.39484816354146851</v>
      </c>
      <c r="CA83" s="17">
        <f t="shared" si="240"/>
        <v>0.39484816354146851</v>
      </c>
      <c r="CB83" s="17">
        <f t="shared" si="241"/>
        <v>0.39484816354146851</v>
      </c>
      <c r="CC83" s="17">
        <f t="shared" si="242"/>
        <v>0.39484816354146851</v>
      </c>
      <c r="CD83" s="17">
        <f t="shared" si="243"/>
        <v>0.39484816354146851</v>
      </c>
      <c r="CE83" s="17">
        <f t="shared" si="244"/>
        <v>0.39484816354146851</v>
      </c>
      <c r="CF83" s="17">
        <f t="shared" si="245"/>
        <v>0.39484816354146851</v>
      </c>
      <c r="CG83" s="17">
        <f t="shared" si="246"/>
        <v>0.39484816354146851</v>
      </c>
      <c r="CH83" s="17">
        <f t="shared" si="247"/>
        <v>0.39484816354146851</v>
      </c>
      <c r="CI83" s="17">
        <f t="shared" si="248"/>
        <v>0.39484816354146851</v>
      </c>
      <c r="CJ83" s="17">
        <f t="shared" si="249"/>
        <v>0.39484816354146851</v>
      </c>
      <c r="CK83" s="17">
        <f t="shared" si="250"/>
        <v>0.39484816354146851</v>
      </c>
      <c r="CL83" s="17">
        <f t="shared" si="251"/>
        <v>0.39484816354146851</v>
      </c>
      <c r="CM83" s="17">
        <f t="shared" si="252"/>
        <v>0.39484816354146851</v>
      </c>
      <c r="CN83" s="17">
        <f t="shared" si="253"/>
        <v>0.39484816354146851</v>
      </c>
      <c r="CO83" s="17">
        <f t="shared" si="254"/>
        <v>0.39484816354146851</v>
      </c>
      <c r="CP83" s="17">
        <f t="shared" si="220"/>
        <v>0.39484816354146851</v>
      </c>
      <c r="CQ83" s="17">
        <f t="shared" si="221"/>
        <v>0.39484816354146851</v>
      </c>
      <c r="CR83" s="17">
        <f t="shared" si="222"/>
        <v>0.39484816354146851</v>
      </c>
      <c r="CS83" s="17">
        <f t="shared" si="223"/>
        <v>0.39484816354146851</v>
      </c>
      <c r="CT83" s="17">
        <f t="shared" si="224"/>
        <v>0.39484816354146851</v>
      </c>
      <c r="CU83" s="20">
        <f t="shared" si="225"/>
        <v>0.39484816354146851</v>
      </c>
      <c r="CW83" s="1"/>
      <c r="CX83" s="20">
        <f t="shared" si="131"/>
        <v>181.54555093755948</v>
      </c>
      <c r="CY83" s="17">
        <f t="shared" si="132"/>
        <v>169.43691805826313</v>
      </c>
      <c r="CZ83" s="17">
        <f t="shared" si="133"/>
        <v>157.43616030741478</v>
      </c>
      <c r="DA83" s="17">
        <f t="shared" si="134"/>
        <v>145.64908822288149</v>
      </c>
      <c r="DB83" s="17">
        <f t="shared" si="135"/>
        <v>134.17745601790733</v>
      </c>
      <c r="DC83" s="17">
        <f t="shared" si="136"/>
        <v>123.11711122084569</v>
      </c>
      <c r="DD83" s="17">
        <f t="shared" si="137"/>
        <v>112.55634587405333</v>
      </c>
      <c r="DE83" s="17">
        <f t="shared" si="138"/>
        <v>102.5744978134326</v>
      </c>
      <c r="DF83" s="17">
        <f t="shared" si="139"/>
        <v>93.240836465860582</v>
      </c>
      <c r="DG83" s="17">
        <f t="shared" si="140"/>
        <v>84.613752174842517</v>
      </c>
      <c r="DH83" s="17">
        <f t="shared" si="141"/>
        <v>76.74025243985264</v>
      </c>
      <c r="DI83" s="17">
        <f t="shared" si="142"/>
        <v>69.655753741294092</v>
      </c>
      <c r="DJ83" s="17">
        <f t="shared" si="143"/>
        <v>63.384144799335637</v>
      </c>
      <c r="DK83" s="17">
        <f t="shared" si="144"/>
        <v>57.938086949617926</v>
      </c>
      <c r="DL83" s="17">
        <f t="shared" si="145"/>
        <v>53.319510314850163</v>
      </c>
      <c r="DM83" s="17">
        <f t="shared" si="146"/>
        <v>49.520260818075307</v>
      </c>
      <c r="DN83" s="17">
        <f t="shared" si="147"/>
        <v>46.522852738348377</v>
      </c>
      <c r="DO83" s="17">
        <f t="shared" si="148"/>
        <v>44.301284107287685</v>
      </c>
      <c r="DP83" s="17">
        <f t="shared" si="149"/>
        <v>42.821877229121029</v>
      </c>
      <c r="DQ83" s="17">
        <f t="shared" si="150"/>
        <v>42.044113278919049</v>
      </c>
      <c r="DR83" s="17">
        <f t="shared" si="151"/>
        <v>41.921437530217638</v>
      </c>
      <c r="DS83" s="17">
        <f t="shared" si="152"/>
        <v>42.402019533524907</v>
      </c>
      <c r="DT83" s="17">
        <f t="shared" si="153"/>
        <v>43.429459843875648</v>
      </c>
      <c r="DU83" s="17">
        <f t="shared" si="154"/>
        <v>44.943441150986573</v>
      </c>
      <c r="DV83" s="17">
        <f t="shared" si="155"/>
        <v>46.880326549615354</v>
      </c>
      <c r="DW83" s="17">
        <f t="shared" si="156"/>
        <v>49.17371104442509</v>
      </c>
      <c r="DX83" s="17">
        <f t="shared" si="157"/>
        <v>51.754934245796015</v>
      </c>
      <c r="DY83" s="17">
        <f t="shared" si="158"/>
        <v>54.553562777049592</v>
      </c>
      <c r="DZ83" s="17">
        <f t="shared" si="159"/>
        <v>57.497850498236339</v>
      </c>
      <c r="EA83" s="20">
        <f t="shared" si="160"/>
        <v>60.515183645853163</v>
      </c>
    </row>
    <row r="84" spans="5:131" x14ac:dyDescent="0.25">
      <c r="E84" s="1"/>
      <c r="F84" s="15">
        <v>300</v>
      </c>
      <c r="G84" s="16">
        <f t="shared" si="191"/>
        <v>279.99075248592408</v>
      </c>
      <c r="H84" s="16">
        <f t="shared" si="192"/>
        <v>260.15976623117001</v>
      </c>
      <c r="I84" s="16">
        <f t="shared" si="193"/>
        <v>240.68189080487437</v>
      </c>
      <c r="J84" s="16">
        <f t="shared" si="194"/>
        <v>221.72527278961985</v>
      </c>
      <c r="K84" s="16">
        <f t="shared" si="195"/>
        <v>203.44829810209518</v>
      </c>
      <c r="L84" s="16">
        <f t="shared" si="196"/>
        <v>185.99686738580417</v>
      </c>
      <c r="M84" s="16">
        <f t="shared" si="197"/>
        <v>169.50208465650354</v>
      </c>
      <c r="N84" s="16">
        <f t="shared" si="198"/>
        <v>154.07841610714499</v>
      </c>
      <c r="O84" s="16">
        <f t="shared" si="199"/>
        <v>139.82235048648116</v>
      </c>
      <c r="P84" s="16">
        <f t="shared" si="200"/>
        <v>126.81156664573936</v>
      </c>
      <c r="Q84" s="16">
        <f t="shared" si="201"/>
        <v>115.10458953398103</v>
      </c>
      <c r="R84" s="16">
        <f t="shared" si="202"/>
        <v>104.74089473192748</v>
      </c>
      <c r="S84" s="16">
        <f t="shared" si="203"/>
        <v>95.741404816158365</v>
      </c>
      <c r="T84" s="16">
        <f t="shared" si="204"/>
        <v>88.109309271680473</v>
      </c>
      <c r="U84" s="16">
        <f t="shared" si="205"/>
        <v>81.831133667011045</v>
      </c>
      <c r="V84" s="16">
        <f t="shared" si="206"/>
        <v>76.877983235760013</v>
      </c>
      <c r="W84" s="16">
        <f t="shared" si="207"/>
        <v>73.20689030136235</v>
      </c>
      <c r="X84" s="16">
        <f t="shared" si="208"/>
        <v>70.762203217828997</v>
      </c>
      <c r="Y84" s="16">
        <f t="shared" si="209"/>
        <v>69.47696552483346</v>
      </c>
      <c r="Z84" s="16">
        <f t="shared" si="210"/>
        <v>69.274246568514428</v>
      </c>
      <c r="AA84" s="16">
        <f t="shared" si="211"/>
        <v>70.068397679613653</v>
      </c>
      <c r="AB84" s="16">
        <f t="shared" si="212"/>
        <v>71.766220025098932</v>
      </c>
      <c r="AC84" s="16">
        <f t="shared" si="213"/>
        <v>74.268040586317142</v>
      </c>
      <c r="AD84" s="16">
        <f t="shared" si="214"/>
        <v>77.468700787505369</v>
      </c>
      <c r="AE84" s="16">
        <f t="shared" si="215"/>
        <v>81.258467845358268</v>
      </c>
      <c r="AF84" s="16">
        <f t="shared" si="216"/>
        <v>85.523881987496139</v>
      </c>
      <c r="AG84" s="16">
        <f t="shared" si="217"/>
        <v>90.148553619712771</v>
      </c>
      <c r="AH84" s="16">
        <f t="shared" si="218"/>
        <v>95.013923835586709</v>
      </c>
      <c r="AI84" s="15">
        <v>100</v>
      </c>
      <c r="AK84" s="1"/>
      <c r="AL84" s="20">
        <f t="shared" si="219"/>
        <v>-1076400000</v>
      </c>
      <c r="AM84" s="17">
        <f t="shared" si="255"/>
        <v>-1004606819.9194956</v>
      </c>
      <c r="AN84" s="17">
        <f t="shared" si="256"/>
        <v>-933453241.23743784</v>
      </c>
      <c r="AO84" s="17">
        <f t="shared" si="257"/>
        <v>-863566624.2078892</v>
      </c>
      <c r="AP84" s="17">
        <f t="shared" si="258"/>
        <v>-795550278.76915598</v>
      </c>
      <c r="AQ84" s="17">
        <f t="shared" si="259"/>
        <v>-729972493.59031749</v>
      </c>
      <c r="AR84" s="17">
        <f t="shared" si="260"/>
        <v>-667356760.18026519</v>
      </c>
      <c r="AS84" s="17">
        <f t="shared" si="261"/>
        <v>-608173479.74753463</v>
      </c>
      <c r="AT84" s="17">
        <f t="shared" si="262"/>
        <v>-552833356.99243617</v>
      </c>
      <c r="AU84" s="17">
        <f t="shared" si="263"/>
        <v>-501682593.54549426</v>
      </c>
      <c r="AV84" s="17">
        <f t="shared" si="264"/>
        <v>-454999901.12491286</v>
      </c>
      <c r="AW84" s="17">
        <f t="shared" si="265"/>
        <v>-412995267.24792391</v>
      </c>
      <c r="AX84" s="17">
        <f t="shared" si="266"/>
        <v>-375810330.29815573</v>
      </c>
      <c r="AY84" s="17">
        <f t="shared" si="267"/>
        <v>-343520160.48037618</v>
      </c>
      <c r="AZ84" s="17">
        <f t="shared" si="268"/>
        <v>-316136201.66678953</v>
      </c>
      <c r="BA84" s="17">
        <f t="shared" si="269"/>
        <v>-293610107.59723562</v>
      </c>
      <c r="BB84" s="17">
        <f t="shared" si="270"/>
        <v>-275838203.84990692</v>
      </c>
      <c r="BC84" s="17">
        <f t="shared" si="271"/>
        <v>-262666322.40128806</v>
      </c>
      <c r="BD84" s="17">
        <f t="shared" si="272"/>
        <v>-253894785.14557043</v>
      </c>
      <c r="BE84" s="17">
        <f t="shared" si="273"/>
        <v>-249283352.3031024</v>
      </c>
      <c r="BF84" s="17">
        <f t="shared" si="274"/>
        <v>-248555996.68782976</v>
      </c>
      <c r="BG84" s="17">
        <f t="shared" si="275"/>
        <v>-251405410.87445372</v>
      </c>
      <c r="BH84" s="17">
        <f t="shared" si="276"/>
        <v>-257497197.45005485</v>
      </c>
      <c r="BI84" s="17">
        <f t="shared" si="277"/>
        <v>-266473729.62370589</v>
      </c>
      <c r="BJ84" s="17">
        <f t="shared" si="226"/>
        <v>-277957698.42556924</v>
      </c>
      <c r="BK84" s="17">
        <f t="shared" si="227"/>
        <v>-291555382.62914544</v>
      </c>
      <c r="BL84" s="17">
        <f t="shared" si="228"/>
        <v>-306859688.57113612</v>
      </c>
      <c r="BM84" s="17">
        <f t="shared" si="229"/>
        <v>-323453010.38752943</v>
      </c>
      <c r="BN84" s="17">
        <f t="shared" si="230"/>
        <v>-340909958.72208512</v>
      </c>
      <c r="BO84" s="20">
        <f t="shared" si="231"/>
        <v>-358800000</v>
      </c>
      <c r="BQ84" s="1"/>
      <c r="BR84" s="20">
        <f t="shared" si="190"/>
        <v>0.39484820231404288</v>
      </c>
      <c r="BS84" s="17">
        <f t="shared" si="232"/>
        <v>0.39484820231404288</v>
      </c>
      <c r="BT84" s="17">
        <f t="shared" si="233"/>
        <v>0.39484820231404288</v>
      </c>
      <c r="BU84" s="17">
        <f t="shared" si="234"/>
        <v>0.39484820231404288</v>
      </c>
      <c r="BV84" s="17">
        <f t="shared" si="235"/>
        <v>0.39484820231404288</v>
      </c>
      <c r="BW84" s="17">
        <f t="shared" si="236"/>
        <v>0.39484820231404288</v>
      </c>
      <c r="BX84" s="17">
        <f t="shared" si="237"/>
        <v>0.39484820231404288</v>
      </c>
      <c r="BY84" s="17">
        <f t="shared" si="238"/>
        <v>0.39484820231404288</v>
      </c>
      <c r="BZ84" s="17">
        <f t="shared" si="239"/>
        <v>0.39484820231404288</v>
      </c>
      <c r="CA84" s="17">
        <f t="shared" si="240"/>
        <v>0.39484820231404288</v>
      </c>
      <c r="CB84" s="17">
        <f t="shared" si="241"/>
        <v>0.39484820231404288</v>
      </c>
      <c r="CC84" s="17">
        <f t="shared" si="242"/>
        <v>0.39484820231404288</v>
      </c>
      <c r="CD84" s="17">
        <f t="shared" si="243"/>
        <v>0.39484820231404288</v>
      </c>
      <c r="CE84" s="17">
        <f t="shared" si="244"/>
        <v>0.39484820231404288</v>
      </c>
      <c r="CF84" s="17">
        <f t="shared" si="245"/>
        <v>0.39484820231404288</v>
      </c>
      <c r="CG84" s="17">
        <f t="shared" si="246"/>
        <v>0.39484820231404288</v>
      </c>
      <c r="CH84" s="17">
        <f t="shared" si="247"/>
        <v>0.39484820231404288</v>
      </c>
      <c r="CI84" s="17">
        <f t="shared" si="248"/>
        <v>0.39484820231404288</v>
      </c>
      <c r="CJ84" s="17">
        <f t="shared" si="249"/>
        <v>0.39484820231404288</v>
      </c>
      <c r="CK84" s="17">
        <f t="shared" si="250"/>
        <v>0.39484820231404288</v>
      </c>
      <c r="CL84" s="17">
        <f t="shared" si="251"/>
        <v>0.39484820231404288</v>
      </c>
      <c r="CM84" s="17">
        <f t="shared" si="252"/>
        <v>0.39484820231404288</v>
      </c>
      <c r="CN84" s="17">
        <f t="shared" si="253"/>
        <v>0.39484820231404288</v>
      </c>
      <c r="CO84" s="17">
        <f t="shared" si="254"/>
        <v>0.39484820231404288</v>
      </c>
      <c r="CP84" s="17">
        <f t="shared" si="220"/>
        <v>0.39484820231404288</v>
      </c>
      <c r="CQ84" s="17">
        <f t="shared" si="221"/>
        <v>0.39484820231404288</v>
      </c>
      <c r="CR84" s="17">
        <f t="shared" si="222"/>
        <v>0.39484820231404288</v>
      </c>
      <c r="CS84" s="17">
        <f t="shared" si="223"/>
        <v>0.39484820231404288</v>
      </c>
      <c r="CT84" s="17">
        <f t="shared" si="224"/>
        <v>0.39484820231404288</v>
      </c>
      <c r="CU84" s="20">
        <f t="shared" si="225"/>
        <v>0.39484820231404288</v>
      </c>
      <c r="CW84" s="1"/>
      <c r="CX84" s="20">
        <f t="shared" si="131"/>
        <v>181.54553930578714</v>
      </c>
      <c r="CY84" s="17">
        <f t="shared" si="132"/>
        <v>169.43690720230083</v>
      </c>
      <c r="CZ84" s="17">
        <f t="shared" si="133"/>
        <v>157.43615022035087</v>
      </c>
      <c r="DA84" s="17">
        <f t="shared" si="134"/>
        <v>145.64907889102494</v>
      </c>
      <c r="DB84" s="17">
        <f t="shared" si="135"/>
        <v>134.1774474210477</v>
      </c>
      <c r="DC84" s="17">
        <f t="shared" si="136"/>
        <v>123.11710333263142</v>
      </c>
      <c r="DD84" s="17">
        <f t="shared" si="137"/>
        <v>112.55633866247597</v>
      </c>
      <c r="DE84" s="17">
        <f t="shared" si="138"/>
        <v>102.57449124140041</v>
      </c>
      <c r="DF84" s="17">
        <f t="shared" si="139"/>
        <v>93.240830491843724</v>
      </c>
      <c r="DG84" s="17">
        <f t="shared" si="140"/>
        <v>84.613746753570027</v>
      </c>
      <c r="DH84" s="17">
        <f t="shared" si="141"/>
        <v>76.740247523041745</v>
      </c>
      <c r="DI84" s="17">
        <f t="shared" si="142"/>
        <v>69.655749278392832</v>
      </c>
      <c r="DJ84" s="17">
        <f t="shared" si="143"/>
        <v>63.384140738261507</v>
      </c>
      <c r="DK84" s="17">
        <f t="shared" si="144"/>
        <v>57.938083237477187</v>
      </c>
      <c r="DL84" s="17">
        <f t="shared" si="145"/>
        <v>53.319506898625413</v>
      </c>
      <c r="DM84" s="17">
        <f t="shared" si="146"/>
        <v>49.520257645271585</v>
      </c>
      <c r="DN84" s="17">
        <f t="shared" si="147"/>
        <v>46.522849757591047</v>
      </c>
      <c r="DO84" s="17">
        <f t="shared" si="148"/>
        <v>44.301281268868088</v>
      </c>
      <c r="DP84" s="17">
        <f t="shared" si="149"/>
        <v>42.821874485488237</v>
      </c>
      <c r="DQ84" s="17">
        <f t="shared" si="150"/>
        <v>42.04411058511824</v>
      </c>
      <c r="DR84" s="17">
        <f t="shared" si="151"/>
        <v>41.92143484427676</v>
      </c>
      <c r="DS84" s="17">
        <f t="shared" si="152"/>
        <v>42.402016816792752</v>
      </c>
      <c r="DT84" s="17">
        <f t="shared" si="153"/>
        <v>43.429457061314551</v>
      </c>
      <c r="DU84" s="17">
        <f t="shared" si="154"/>
        <v>44.943438271423446</v>
      </c>
      <c r="DV84" s="17">
        <f t="shared" si="155"/>
        <v>46.880323545954397</v>
      </c>
      <c r="DW84" s="17">
        <f t="shared" si="156"/>
        <v>49.173707893825096</v>
      </c>
      <c r="DX84" s="17">
        <f t="shared" si="157"/>
        <v>51.754930929814932</v>
      </c>
      <c r="DY84" s="17">
        <f t="shared" si="158"/>
        <v>54.553559281758083</v>
      </c>
      <c r="DZ84" s="17">
        <f t="shared" si="159"/>
        <v>57.497846814301909</v>
      </c>
      <c r="EA84" s="20">
        <f t="shared" si="160"/>
        <v>60.515179768595722</v>
      </c>
    </row>
    <row r="85" spans="5:131" x14ac:dyDescent="0.25">
      <c r="E85" s="1"/>
      <c r="F85" s="15">
        <v>300</v>
      </c>
      <c r="G85" s="16">
        <f t="shared" si="191"/>
        <v>279.99075248592408</v>
      </c>
      <c r="H85" s="16">
        <f t="shared" si="192"/>
        <v>260.15976623117001</v>
      </c>
      <c r="I85" s="16">
        <f t="shared" si="193"/>
        <v>240.6818908048744</v>
      </c>
      <c r="J85" s="16">
        <f t="shared" si="194"/>
        <v>221.72527278961991</v>
      </c>
      <c r="K85" s="16">
        <f t="shared" si="195"/>
        <v>203.44829810209518</v>
      </c>
      <c r="L85" s="16">
        <f t="shared" si="196"/>
        <v>185.99686738580417</v>
      </c>
      <c r="M85" s="16">
        <f t="shared" si="197"/>
        <v>169.50208465650354</v>
      </c>
      <c r="N85" s="16">
        <f t="shared" si="198"/>
        <v>154.07841610714499</v>
      </c>
      <c r="O85" s="16">
        <f t="shared" si="199"/>
        <v>139.82235048648116</v>
      </c>
      <c r="P85" s="16">
        <f t="shared" si="200"/>
        <v>126.81156664573938</v>
      </c>
      <c r="Q85" s="16">
        <f t="shared" si="201"/>
        <v>115.10458953398103</v>
      </c>
      <c r="R85" s="16">
        <f t="shared" si="202"/>
        <v>104.74089473192748</v>
      </c>
      <c r="S85" s="16">
        <f t="shared" si="203"/>
        <v>95.741404816158365</v>
      </c>
      <c r="T85" s="16">
        <f t="shared" si="204"/>
        <v>88.109309271680473</v>
      </c>
      <c r="U85" s="16">
        <f t="shared" si="205"/>
        <v>81.831133667011045</v>
      </c>
      <c r="V85" s="16">
        <f t="shared" si="206"/>
        <v>76.877983235760013</v>
      </c>
      <c r="W85" s="16">
        <f t="shared" si="207"/>
        <v>73.206890301362364</v>
      </c>
      <c r="X85" s="16">
        <f t="shared" si="208"/>
        <v>70.762203217829011</v>
      </c>
      <c r="Y85" s="16">
        <f t="shared" si="209"/>
        <v>69.476965524833474</v>
      </c>
      <c r="Z85" s="16">
        <f t="shared" si="210"/>
        <v>69.274246568514428</v>
      </c>
      <c r="AA85" s="16">
        <f t="shared" si="211"/>
        <v>70.068397679613668</v>
      </c>
      <c r="AB85" s="16">
        <f t="shared" si="212"/>
        <v>71.766220025098932</v>
      </c>
      <c r="AC85" s="16">
        <f t="shared" si="213"/>
        <v>74.268040586317142</v>
      </c>
      <c r="AD85" s="16">
        <f t="shared" si="214"/>
        <v>77.468700787505369</v>
      </c>
      <c r="AE85" s="16">
        <f t="shared" si="215"/>
        <v>81.258467845358268</v>
      </c>
      <c r="AF85" s="16">
        <f t="shared" si="216"/>
        <v>85.523881987496139</v>
      </c>
      <c r="AG85" s="16">
        <f t="shared" si="217"/>
        <v>90.148553619712771</v>
      </c>
      <c r="AH85" s="16">
        <f t="shared" si="218"/>
        <v>95.013923835586723</v>
      </c>
      <c r="AI85" s="15">
        <v>100</v>
      </c>
      <c r="AK85" s="1"/>
      <c r="AL85" s="20">
        <f t="shared" si="219"/>
        <v>-1076400000</v>
      </c>
      <c r="AM85" s="17">
        <f t="shared" si="255"/>
        <v>-1004606819.9194956</v>
      </c>
      <c r="AN85" s="17">
        <f t="shared" si="256"/>
        <v>-933453241.23743784</v>
      </c>
      <c r="AO85" s="17">
        <f t="shared" si="257"/>
        <v>-863566624.2078892</v>
      </c>
      <c r="AP85" s="17">
        <f t="shared" si="258"/>
        <v>-795550278.76915622</v>
      </c>
      <c r="AQ85" s="17">
        <f t="shared" si="259"/>
        <v>-729972493.59031761</v>
      </c>
      <c r="AR85" s="17">
        <f t="shared" si="260"/>
        <v>-667356760.18026531</v>
      </c>
      <c r="AS85" s="17">
        <f t="shared" si="261"/>
        <v>-608173479.74753475</v>
      </c>
      <c r="AT85" s="17">
        <f t="shared" si="262"/>
        <v>-552833356.99243617</v>
      </c>
      <c r="AU85" s="17">
        <f t="shared" si="263"/>
        <v>-501682593.54549438</v>
      </c>
      <c r="AV85" s="17">
        <f t="shared" si="264"/>
        <v>-454999901.12491286</v>
      </c>
      <c r="AW85" s="17">
        <f t="shared" si="265"/>
        <v>-412995267.24792391</v>
      </c>
      <c r="AX85" s="17">
        <f t="shared" si="266"/>
        <v>-375810330.29815578</v>
      </c>
      <c r="AY85" s="17">
        <f t="shared" si="267"/>
        <v>-343520160.48037624</v>
      </c>
      <c r="AZ85" s="17">
        <f t="shared" si="268"/>
        <v>-316136201.66678953</v>
      </c>
      <c r="BA85" s="17">
        <f t="shared" si="269"/>
        <v>-293610107.59723562</v>
      </c>
      <c r="BB85" s="17">
        <f t="shared" si="270"/>
        <v>-275838203.84990692</v>
      </c>
      <c r="BC85" s="17">
        <f t="shared" si="271"/>
        <v>-262666322.40128812</v>
      </c>
      <c r="BD85" s="17">
        <f t="shared" si="272"/>
        <v>-253894785.14557049</v>
      </c>
      <c r="BE85" s="17">
        <f t="shared" si="273"/>
        <v>-249283352.3031024</v>
      </c>
      <c r="BF85" s="17">
        <f t="shared" si="274"/>
        <v>-248555996.68782976</v>
      </c>
      <c r="BG85" s="17">
        <f t="shared" si="275"/>
        <v>-251405410.87445378</v>
      </c>
      <c r="BH85" s="17">
        <f t="shared" si="276"/>
        <v>-257497197.45005497</v>
      </c>
      <c r="BI85" s="17">
        <f t="shared" si="277"/>
        <v>-266473729.62370589</v>
      </c>
      <c r="BJ85" s="17">
        <f t="shared" si="226"/>
        <v>-277957698.42556924</v>
      </c>
      <c r="BK85" s="17">
        <f t="shared" si="227"/>
        <v>-291555382.62914544</v>
      </c>
      <c r="BL85" s="17">
        <f t="shared" si="228"/>
        <v>-306859688.57113612</v>
      </c>
      <c r="BM85" s="17">
        <f t="shared" si="229"/>
        <v>-323453010.38752943</v>
      </c>
      <c r="BN85" s="17">
        <f t="shared" si="230"/>
        <v>-340909958.72208512</v>
      </c>
      <c r="BO85" s="20">
        <f t="shared" si="231"/>
        <v>-358800000</v>
      </c>
      <c r="BQ85" s="1"/>
      <c r="BR85" s="20">
        <f t="shared" si="190"/>
        <v>0.39484845100749483</v>
      </c>
      <c r="BS85" s="17">
        <f t="shared" si="232"/>
        <v>0.39484845100749483</v>
      </c>
      <c r="BT85" s="17">
        <f t="shared" si="233"/>
        <v>0.39484845100749483</v>
      </c>
      <c r="BU85" s="17">
        <f t="shared" si="234"/>
        <v>0.39484845100749483</v>
      </c>
      <c r="BV85" s="17">
        <f t="shared" si="235"/>
        <v>0.39484845100749483</v>
      </c>
      <c r="BW85" s="17">
        <f t="shared" si="236"/>
        <v>0.39484845100749483</v>
      </c>
      <c r="BX85" s="17">
        <f t="shared" si="237"/>
        <v>0.39484845100749483</v>
      </c>
      <c r="BY85" s="17">
        <f t="shared" si="238"/>
        <v>0.39484845100749483</v>
      </c>
      <c r="BZ85" s="17">
        <f t="shared" si="239"/>
        <v>0.39484845100749483</v>
      </c>
      <c r="CA85" s="17">
        <f t="shared" si="240"/>
        <v>0.39484845100749483</v>
      </c>
      <c r="CB85" s="17">
        <f t="shared" si="241"/>
        <v>0.39484845100749483</v>
      </c>
      <c r="CC85" s="17">
        <f t="shared" si="242"/>
        <v>0.39484845100749483</v>
      </c>
      <c r="CD85" s="17">
        <f t="shared" si="243"/>
        <v>0.39484845100749483</v>
      </c>
      <c r="CE85" s="17">
        <f t="shared" si="244"/>
        <v>0.39484845100749483</v>
      </c>
      <c r="CF85" s="17">
        <f t="shared" si="245"/>
        <v>0.39484845100749483</v>
      </c>
      <c r="CG85" s="17">
        <f t="shared" si="246"/>
        <v>0.39484845100749483</v>
      </c>
      <c r="CH85" s="17">
        <f t="shared" si="247"/>
        <v>0.39484845100749483</v>
      </c>
      <c r="CI85" s="17">
        <f t="shared" si="248"/>
        <v>0.39484845100749483</v>
      </c>
      <c r="CJ85" s="17">
        <f t="shared" si="249"/>
        <v>0.39484845100749483</v>
      </c>
      <c r="CK85" s="17">
        <f t="shared" si="250"/>
        <v>0.39484845100749483</v>
      </c>
      <c r="CL85" s="17">
        <f t="shared" si="251"/>
        <v>0.39484845100749483</v>
      </c>
      <c r="CM85" s="17">
        <f t="shared" si="252"/>
        <v>0.39484845100749483</v>
      </c>
      <c r="CN85" s="17">
        <f t="shared" si="253"/>
        <v>0.39484845100749483</v>
      </c>
      <c r="CO85" s="17">
        <f t="shared" si="254"/>
        <v>0.39484845100749483</v>
      </c>
      <c r="CP85" s="17">
        <f t="shared" si="220"/>
        <v>0.39484845100749483</v>
      </c>
      <c r="CQ85" s="17">
        <f t="shared" si="221"/>
        <v>0.39484845100749483</v>
      </c>
      <c r="CR85" s="17">
        <f t="shared" si="222"/>
        <v>0.39484845100749483</v>
      </c>
      <c r="CS85" s="17">
        <f t="shared" si="223"/>
        <v>0.39484845100749483</v>
      </c>
      <c r="CT85" s="17">
        <f t="shared" si="224"/>
        <v>0.39484845100749483</v>
      </c>
      <c r="CU85" s="20">
        <f t="shared" si="225"/>
        <v>0.39484845100749483</v>
      </c>
      <c r="CW85" s="1"/>
      <c r="CX85" s="20">
        <f t="shared" si="131"/>
        <v>181.54546469775153</v>
      </c>
      <c r="CY85" s="17">
        <f t="shared" si="132"/>
        <v>169.43683757043405</v>
      </c>
      <c r="CZ85" s="17">
        <f t="shared" si="133"/>
        <v>157.43608552032055</v>
      </c>
      <c r="DA85" s="17">
        <f t="shared" si="134"/>
        <v>145.64901903501473</v>
      </c>
      <c r="DB85" s="17">
        <f t="shared" si="135"/>
        <v>134.17739227942425</v>
      </c>
      <c r="DC85" s="17">
        <f t="shared" si="136"/>
        <v>123.11705273637186</v>
      </c>
      <c r="DD85" s="17">
        <f t="shared" si="137"/>
        <v>112.55629240627296</v>
      </c>
      <c r="DE85" s="17">
        <f t="shared" si="138"/>
        <v>102.57444908734188</v>
      </c>
      <c r="DF85" s="17">
        <f t="shared" si="139"/>
        <v>93.240792173550545</v>
      </c>
      <c r="DG85" s="17">
        <f t="shared" si="140"/>
        <v>84.613711980667034</v>
      </c>
      <c r="DH85" s="17">
        <f t="shared" si="141"/>
        <v>76.740215985835491</v>
      </c>
      <c r="DI85" s="17">
        <f t="shared" si="142"/>
        <v>69.655720652635125</v>
      </c>
      <c r="DJ85" s="17">
        <f t="shared" si="143"/>
        <v>63.384114689886843</v>
      </c>
      <c r="DK85" s="17">
        <f t="shared" si="144"/>
        <v>57.938059427216736</v>
      </c>
      <c r="DL85" s="17">
        <f t="shared" si="145"/>
        <v>53.319484986417145</v>
      </c>
      <c r="DM85" s="17">
        <f t="shared" si="146"/>
        <v>49.520237294404481</v>
      </c>
      <c r="DN85" s="17">
        <f t="shared" si="147"/>
        <v>46.522830638540022</v>
      </c>
      <c r="DO85" s="17">
        <f t="shared" si="148"/>
        <v>44.301263062793844</v>
      </c>
      <c r="DP85" s="17">
        <f t="shared" si="149"/>
        <v>42.821856887391668</v>
      </c>
      <c r="DQ85" s="17">
        <f t="shared" si="150"/>
        <v>42.04409330665186</v>
      </c>
      <c r="DR85" s="17">
        <f t="shared" si="151"/>
        <v>41.921417616225249</v>
      </c>
      <c r="DS85" s="17">
        <f t="shared" si="152"/>
        <v>42.40199939124107</v>
      </c>
      <c r="DT85" s="17">
        <f t="shared" si="153"/>
        <v>43.429439213525569</v>
      </c>
      <c r="DU85" s="17">
        <f t="shared" si="154"/>
        <v>44.943419801448066</v>
      </c>
      <c r="DV85" s="17">
        <f t="shared" si="155"/>
        <v>46.880304279995784</v>
      </c>
      <c r="DW85" s="17">
        <f t="shared" si="156"/>
        <v>49.17368768537623</v>
      </c>
      <c r="DX85" s="17">
        <f t="shared" si="157"/>
        <v>51.754909660585497</v>
      </c>
      <c r="DY85" s="17">
        <f t="shared" si="158"/>
        <v>54.553536862403099</v>
      </c>
      <c r="DZ85" s="17">
        <f t="shared" si="159"/>
        <v>57.497823184961213</v>
      </c>
      <c r="EA85" s="20">
        <f t="shared" si="160"/>
        <v>60.515154899250518</v>
      </c>
    </row>
    <row r="86" spans="5:131" x14ac:dyDescent="0.25">
      <c r="E86" s="1"/>
      <c r="F86" s="15">
        <v>300</v>
      </c>
      <c r="G86" s="16">
        <f t="shared" si="191"/>
        <v>279.99075248592413</v>
      </c>
      <c r="H86" s="16">
        <f t="shared" si="192"/>
        <v>260.15976623117007</v>
      </c>
      <c r="I86" s="16">
        <f t="shared" si="193"/>
        <v>240.68189080487446</v>
      </c>
      <c r="J86" s="16">
        <f t="shared" si="194"/>
        <v>221.72527278961996</v>
      </c>
      <c r="K86" s="16">
        <f t="shared" si="195"/>
        <v>203.44829810209524</v>
      </c>
      <c r="L86" s="16">
        <f t="shared" si="196"/>
        <v>185.99686738580419</v>
      </c>
      <c r="M86" s="16">
        <f t="shared" si="197"/>
        <v>169.5020846565036</v>
      </c>
      <c r="N86" s="16">
        <f t="shared" si="198"/>
        <v>154.07841610714502</v>
      </c>
      <c r="O86" s="16">
        <f t="shared" si="199"/>
        <v>139.82235048648118</v>
      </c>
      <c r="P86" s="16">
        <f t="shared" si="200"/>
        <v>126.8115666457394</v>
      </c>
      <c r="Q86" s="16">
        <f t="shared" si="201"/>
        <v>115.10458953398108</v>
      </c>
      <c r="R86" s="16">
        <f t="shared" si="202"/>
        <v>104.74089473192751</v>
      </c>
      <c r="S86" s="16">
        <f t="shared" si="203"/>
        <v>95.741404816158393</v>
      </c>
      <c r="T86" s="16">
        <f t="shared" si="204"/>
        <v>88.109309271680502</v>
      </c>
      <c r="U86" s="16">
        <f t="shared" si="205"/>
        <v>81.831133667011088</v>
      </c>
      <c r="V86" s="16">
        <f t="shared" si="206"/>
        <v>76.877983235760041</v>
      </c>
      <c r="W86" s="16">
        <f t="shared" si="207"/>
        <v>73.206890301362392</v>
      </c>
      <c r="X86" s="16">
        <f t="shared" si="208"/>
        <v>70.76220321782904</v>
      </c>
      <c r="Y86" s="16">
        <f t="shared" si="209"/>
        <v>69.476965524833503</v>
      </c>
      <c r="Z86" s="16">
        <f t="shared" si="210"/>
        <v>69.274246568514457</v>
      </c>
      <c r="AA86" s="16">
        <f t="shared" si="211"/>
        <v>70.068397679613696</v>
      </c>
      <c r="AB86" s="16">
        <f t="shared" si="212"/>
        <v>71.76622002509896</v>
      </c>
      <c r="AC86" s="16">
        <f t="shared" si="213"/>
        <v>74.26804058631717</v>
      </c>
      <c r="AD86" s="16">
        <f t="shared" si="214"/>
        <v>77.468700787505398</v>
      </c>
      <c r="AE86" s="16">
        <f t="shared" si="215"/>
        <v>81.258467845358297</v>
      </c>
      <c r="AF86" s="16">
        <f t="shared" si="216"/>
        <v>85.523881987496154</v>
      </c>
      <c r="AG86" s="16">
        <f t="shared" si="217"/>
        <v>90.1485536197128</v>
      </c>
      <c r="AH86" s="16">
        <f t="shared" si="218"/>
        <v>95.013923835586752</v>
      </c>
      <c r="AI86" s="15">
        <v>100</v>
      </c>
      <c r="AK86" s="1"/>
      <c r="AL86" s="20">
        <f t="shared" si="219"/>
        <v>-1076400000</v>
      </c>
      <c r="AM86" s="17">
        <f t="shared" si="255"/>
        <v>-1004606819.9194956</v>
      </c>
      <c r="AN86" s="17">
        <f t="shared" si="256"/>
        <v>-933453241.23743796</v>
      </c>
      <c r="AO86" s="17">
        <f t="shared" si="257"/>
        <v>-863566624.20788932</v>
      </c>
      <c r="AP86" s="17">
        <f t="shared" si="258"/>
        <v>-795550278.76915634</v>
      </c>
      <c r="AQ86" s="17">
        <f t="shared" si="259"/>
        <v>-729972493.59031773</v>
      </c>
      <c r="AR86" s="17">
        <f t="shared" si="260"/>
        <v>-667356760.18026543</v>
      </c>
      <c r="AS86" s="17">
        <f t="shared" si="261"/>
        <v>-608173479.74753475</v>
      </c>
      <c r="AT86" s="17">
        <f t="shared" si="262"/>
        <v>-552833356.99243617</v>
      </c>
      <c r="AU86" s="17">
        <f t="shared" si="263"/>
        <v>-501682593.54549438</v>
      </c>
      <c r="AV86" s="17">
        <f t="shared" si="264"/>
        <v>-454999901.12491292</v>
      </c>
      <c r="AW86" s="17">
        <f t="shared" si="265"/>
        <v>-412995267.24792409</v>
      </c>
      <c r="AX86" s="17">
        <f t="shared" si="266"/>
        <v>-375810330.2981559</v>
      </c>
      <c r="AY86" s="17">
        <f t="shared" si="267"/>
        <v>-343520160.4803763</v>
      </c>
      <c r="AZ86" s="17">
        <f t="shared" si="268"/>
        <v>-316136201.66678965</v>
      </c>
      <c r="BA86" s="17">
        <f t="shared" si="269"/>
        <v>-293610107.5972358</v>
      </c>
      <c r="BB86" s="17">
        <f t="shared" si="270"/>
        <v>-275838203.8499071</v>
      </c>
      <c r="BC86" s="17">
        <f t="shared" si="271"/>
        <v>-262666322.40128827</v>
      </c>
      <c r="BD86" s="17">
        <f t="shared" si="272"/>
        <v>-253894785.14557064</v>
      </c>
      <c r="BE86" s="17">
        <f t="shared" si="273"/>
        <v>-249283352.30310261</v>
      </c>
      <c r="BF86" s="17">
        <f t="shared" si="274"/>
        <v>-248555996.68782991</v>
      </c>
      <c r="BG86" s="17">
        <f t="shared" si="275"/>
        <v>-251405410.87445393</v>
      </c>
      <c r="BH86" s="17">
        <f t="shared" si="276"/>
        <v>-257497197.45005506</v>
      </c>
      <c r="BI86" s="17">
        <f t="shared" si="277"/>
        <v>-266473729.62370604</v>
      </c>
      <c r="BJ86" s="17">
        <f t="shared" si="226"/>
        <v>-277957698.42556936</v>
      </c>
      <c r="BK86" s="17">
        <f t="shared" si="227"/>
        <v>-291555382.62914556</v>
      </c>
      <c r="BL86" s="17">
        <f t="shared" si="228"/>
        <v>-306859688.57113618</v>
      </c>
      <c r="BM86" s="17">
        <f t="shared" si="229"/>
        <v>-323453010.38752955</v>
      </c>
      <c r="BN86" s="17">
        <f t="shared" si="230"/>
        <v>-340909958.72208518</v>
      </c>
      <c r="BO86" s="20">
        <f t="shared" si="231"/>
        <v>-358800000</v>
      </c>
      <c r="BQ86" s="1"/>
      <c r="BR86" s="20">
        <f t="shared" si="190"/>
        <v>0.39485004616564406</v>
      </c>
      <c r="BS86" s="17">
        <f t="shared" si="232"/>
        <v>0.39485004616564406</v>
      </c>
      <c r="BT86" s="17">
        <f t="shared" si="233"/>
        <v>0.39485004616564406</v>
      </c>
      <c r="BU86" s="17">
        <f t="shared" si="234"/>
        <v>0.39485004616564406</v>
      </c>
      <c r="BV86" s="17">
        <f t="shared" si="235"/>
        <v>0.39485004616564406</v>
      </c>
      <c r="BW86" s="17">
        <f t="shared" si="236"/>
        <v>0.39485004616564406</v>
      </c>
      <c r="BX86" s="17">
        <f t="shared" si="237"/>
        <v>0.39485004616564406</v>
      </c>
      <c r="BY86" s="17">
        <f t="shared" si="238"/>
        <v>0.39485004616564406</v>
      </c>
      <c r="BZ86" s="17">
        <f t="shared" si="239"/>
        <v>0.39485004616564406</v>
      </c>
      <c r="CA86" s="17">
        <f t="shared" si="240"/>
        <v>0.39485004616564406</v>
      </c>
      <c r="CB86" s="17">
        <f t="shared" si="241"/>
        <v>0.39485004616564406</v>
      </c>
      <c r="CC86" s="17">
        <f t="shared" si="242"/>
        <v>0.39485004616564406</v>
      </c>
      <c r="CD86" s="17">
        <f t="shared" si="243"/>
        <v>0.39485004616564406</v>
      </c>
      <c r="CE86" s="17">
        <f t="shared" si="244"/>
        <v>0.39485004616564406</v>
      </c>
      <c r="CF86" s="17">
        <f t="shared" si="245"/>
        <v>0.39485004616564406</v>
      </c>
      <c r="CG86" s="17">
        <f t="shared" si="246"/>
        <v>0.39485004616564406</v>
      </c>
      <c r="CH86" s="17">
        <f t="shared" si="247"/>
        <v>0.39485004616564406</v>
      </c>
      <c r="CI86" s="17">
        <f t="shared" si="248"/>
        <v>0.39485004616564406</v>
      </c>
      <c r="CJ86" s="17">
        <f t="shared" si="249"/>
        <v>0.39485004616564406</v>
      </c>
      <c r="CK86" s="17">
        <f t="shared" si="250"/>
        <v>0.39485004616564406</v>
      </c>
      <c r="CL86" s="17">
        <f t="shared" si="251"/>
        <v>0.39485004616564406</v>
      </c>
      <c r="CM86" s="17">
        <f t="shared" si="252"/>
        <v>0.39485004616564406</v>
      </c>
      <c r="CN86" s="17">
        <f t="shared" si="253"/>
        <v>0.39485004616564406</v>
      </c>
      <c r="CO86" s="17">
        <f t="shared" si="254"/>
        <v>0.39485004616564406</v>
      </c>
      <c r="CP86" s="17">
        <f t="shared" si="220"/>
        <v>0.39485004616564406</v>
      </c>
      <c r="CQ86" s="17">
        <f t="shared" si="221"/>
        <v>0.39485004616564406</v>
      </c>
      <c r="CR86" s="17">
        <f t="shared" si="222"/>
        <v>0.39485004616564406</v>
      </c>
      <c r="CS86" s="17">
        <f t="shared" si="223"/>
        <v>0.39485004616564406</v>
      </c>
      <c r="CT86" s="17">
        <f t="shared" si="224"/>
        <v>0.39485004616564406</v>
      </c>
      <c r="CU86" s="20">
        <f t="shared" si="225"/>
        <v>0.39485004616564406</v>
      </c>
      <c r="CW86" s="1"/>
      <c r="CX86" s="20">
        <f t="shared" si="131"/>
        <v>181.54498615030681</v>
      </c>
      <c r="CY86" s="17">
        <f t="shared" si="132"/>
        <v>169.43639094090358</v>
      </c>
      <c r="CZ86" s="17">
        <f t="shared" si="133"/>
        <v>157.4356705243494</v>
      </c>
      <c r="DA86" s="17">
        <f t="shared" si="134"/>
        <v>145.64863510933529</v>
      </c>
      <c r="DB86" s="17">
        <f t="shared" si="135"/>
        <v>134.17703859254851</v>
      </c>
      <c r="DC86" s="17">
        <f t="shared" si="136"/>
        <v>123.11672820416125</v>
      </c>
      <c r="DD86" s="17">
        <f t="shared" si="137"/>
        <v>112.55599571185425</v>
      </c>
      <c r="DE86" s="17">
        <f t="shared" si="138"/>
        <v>102.57417870471025</v>
      </c>
      <c r="DF86" s="17">
        <f t="shared" si="139"/>
        <v>93.240546394109487</v>
      </c>
      <c r="DG86" s="17">
        <f t="shared" si="140"/>
        <v>84.613488941905231</v>
      </c>
      <c r="DH86" s="17">
        <f t="shared" si="141"/>
        <v>76.740013701331563</v>
      </c>
      <c r="DI86" s="17">
        <f t="shared" si="142"/>
        <v>69.655537042611158</v>
      </c>
      <c r="DJ86" s="17">
        <f t="shared" si="143"/>
        <v>63.38394761159509</v>
      </c>
      <c r="DK86" s="17">
        <f t="shared" si="144"/>
        <v>57.937906704534655</v>
      </c>
      <c r="DL86" s="17">
        <f t="shared" si="145"/>
        <v>53.319344438134465</v>
      </c>
      <c r="DM86" s="17">
        <f t="shared" si="146"/>
        <v>49.520106760804786</v>
      </c>
      <c r="DN86" s="17">
        <f t="shared" si="147"/>
        <v>46.522708005998595</v>
      </c>
      <c r="DO86" s="17">
        <f t="shared" si="148"/>
        <v>44.301146286226228</v>
      </c>
      <c r="DP86" s="17">
        <f t="shared" si="149"/>
        <v>42.821744010486576</v>
      </c>
      <c r="DQ86" s="17">
        <f t="shared" si="150"/>
        <v>42.043982479904152</v>
      </c>
      <c r="DR86" s="17">
        <f t="shared" si="151"/>
        <v>41.921307112846328</v>
      </c>
      <c r="DS86" s="17">
        <f t="shared" si="152"/>
        <v>42.401887621065534</v>
      </c>
      <c r="DT86" s="17">
        <f t="shared" si="153"/>
        <v>43.429324735054877</v>
      </c>
      <c r="DU86" s="17">
        <f t="shared" si="154"/>
        <v>44.943301332177924</v>
      </c>
      <c r="DV86" s="17">
        <f t="shared" si="155"/>
        <v>46.880180705166438</v>
      </c>
      <c r="DW86" s="17">
        <f t="shared" si="156"/>
        <v>49.173558065269077</v>
      </c>
      <c r="DX86" s="17">
        <f t="shared" si="157"/>
        <v>51.75477323646821</v>
      </c>
      <c r="DY86" s="17">
        <f t="shared" si="158"/>
        <v>54.553393061203174</v>
      </c>
      <c r="DZ86" s="17">
        <f t="shared" si="159"/>
        <v>57.497671622726337</v>
      </c>
      <c r="EA86" s="20">
        <f t="shared" si="160"/>
        <v>60.514995383435611</v>
      </c>
    </row>
    <row r="87" spans="5:131" x14ac:dyDescent="0.25">
      <c r="E87" s="1"/>
      <c r="F87" s="15">
        <v>300</v>
      </c>
      <c r="G87" s="16">
        <f t="shared" si="191"/>
        <v>279.99075248592413</v>
      </c>
      <c r="H87" s="16">
        <f t="shared" si="192"/>
        <v>260.15976623117007</v>
      </c>
      <c r="I87" s="16">
        <f t="shared" si="193"/>
        <v>240.68189080487448</v>
      </c>
      <c r="J87" s="16">
        <f t="shared" si="194"/>
        <v>221.72527278961996</v>
      </c>
      <c r="K87" s="16">
        <f t="shared" si="195"/>
        <v>203.44829810209526</v>
      </c>
      <c r="L87" s="16">
        <f t="shared" si="196"/>
        <v>185.99686738580419</v>
      </c>
      <c r="M87" s="16">
        <f t="shared" si="197"/>
        <v>169.5020846565036</v>
      </c>
      <c r="N87" s="16">
        <f t="shared" si="198"/>
        <v>154.07841610714502</v>
      </c>
      <c r="O87" s="16">
        <f t="shared" si="199"/>
        <v>139.82235048648118</v>
      </c>
      <c r="P87" s="16">
        <f t="shared" si="200"/>
        <v>126.8115666457394</v>
      </c>
      <c r="Q87" s="16">
        <f t="shared" si="201"/>
        <v>115.1045895339811</v>
      </c>
      <c r="R87" s="16">
        <f t="shared" si="202"/>
        <v>104.74089473192751</v>
      </c>
      <c r="S87" s="16">
        <f t="shared" si="203"/>
        <v>95.741404816158408</v>
      </c>
      <c r="T87" s="16">
        <f t="shared" si="204"/>
        <v>88.109309271680516</v>
      </c>
      <c r="U87" s="16">
        <f t="shared" si="205"/>
        <v>81.831133667011102</v>
      </c>
      <c r="V87" s="16">
        <f t="shared" si="206"/>
        <v>76.877983235760055</v>
      </c>
      <c r="W87" s="16">
        <f t="shared" si="207"/>
        <v>73.206890301362407</v>
      </c>
      <c r="X87" s="16">
        <f t="shared" si="208"/>
        <v>70.762203217829054</v>
      </c>
      <c r="Y87" s="16">
        <f t="shared" si="209"/>
        <v>69.476965524833517</v>
      </c>
      <c r="Z87" s="16">
        <f t="shared" si="210"/>
        <v>69.274246568514471</v>
      </c>
      <c r="AA87" s="16">
        <f t="shared" si="211"/>
        <v>70.068397679613696</v>
      </c>
      <c r="AB87" s="16">
        <f t="shared" si="212"/>
        <v>71.76622002509896</v>
      </c>
      <c r="AC87" s="16">
        <f t="shared" si="213"/>
        <v>74.268040586317184</v>
      </c>
      <c r="AD87" s="16">
        <f t="shared" si="214"/>
        <v>77.468700787505398</v>
      </c>
      <c r="AE87" s="16">
        <f t="shared" si="215"/>
        <v>81.258467845358297</v>
      </c>
      <c r="AF87" s="16">
        <f t="shared" si="216"/>
        <v>85.523881987496139</v>
      </c>
      <c r="AG87" s="16">
        <f t="shared" si="217"/>
        <v>90.1485536197128</v>
      </c>
      <c r="AH87" s="16">
        <f t="shared" si="218"/>
        <v>95.013923835586752</v>
      </c>
      <c r="AI87" s="15">
        <v>100</v>
      </c>
      <c r="AK87" s="1"/>
      <c r="AL87" s="20">
        <f t="shared" si="219"/>
        <v>-1076400000</v>
      </c>
      <c r="AM87" s="17">
        <f t="shared" si="255"/>
        <v>-1004606819.9194956</v>
      </c>
      <c r="AN87" s="17">
        <f t="shared" si="256"/>
        <v>-933453241.23743796</v>
      </c>
      <c r="AO87" s="17">
        <f t="shared" si="257"/>
        <v>-863566624.20788956</v>
      </c>
      <c r="AP87" s="17">
        <f t="shared" si="258"/>
        <v>-795550278.76915646</v>
      </c>
      <c r="AQ87" s="17">
        <f t="shared" si="259"/>
        <v>-729972493.59031773</v>
      </c>
      <c r="AR87" s="17">
        <f t="shared" si="260"/>
        <v>-667356760.18026543</v>
      </c>
      <c r="AS87" s="17">
        <f t="shared" si="261"/>
        <v>-608173479.74753475</v>
      </c>
      <c r="AT87" s="17">
        <f t="shared" si="262"/>
        <v>-552833356.99243617</v>
      </c>
      <c r="AU87" s="17">
        <f t="shared" si="263"/>
        <v>-501682593.54549438</v>
      </c>
      <c r="AV87" s="17">
        <f t="shared" si="264"/>
        <v>-454999901.12491292</v>
      </c>
      <c r="AW87" s="17">
        <f t="shared" si="265"/>
        <v>-412995267.24792415</v>
      </c>
      <c r="AX87" s="17">
        <f t="shared" si="266"/>
        <v>-375810330.2981559</v>
      </c>
      <c r="AY87" s="17">
        <f t="shared" si="267"/>
        <v>-343520160.48037636</v>
      </c>
      <c r="AZ87" s="17">
        <f t="shared" si="268"/>
        <v>-316136201.66678971</v>
      </c>
      <c r="BA87" s="17">
        <f t="shared" si="269"/>
        <v>-293610107.5972358</v>
      </c>
      <c r="BB87" s="17">
        <f t="shared" si="270"/>
        <v>-275838203.8499071</v>
      </c>
      <c r="BC87" s="17">
        <f t="shared" si="271"/>
        <v>-262666322.40128827</v>
      </c>
      <c r="BD87" s="17">
        <f t="shared" si="272"/>
        <v>-253894785.14557064</v>
      </c>
      <c r="BE87" s="17">
        <f t="shared" si="273"/>
        <v>-249283352.30310261</v>
      </c>
      <c r="BF87" s="17">
        <f t="shared" si="274"/>
        <v>-248555996.68782991</v>
      </c>
      <c r="BG87" s="17">
        <f t="shared" si="275"/>
        <v>-251405410.87445393</v>
      </c>
      <c r="BH87" s="17">
        <f t="shared" si="276"/>
        <v>-257497197.45005506</v>
      </c>
      <c r="BI87" s="17">
        <f t="shared" si="277"/>
        <v>-266473729.62370604</v>
      </c>
      <c r="BJ87" s="17">
        <f t="shared" si="226"/>
        <v>-277957698.42556936</v>
      </c>
      <c r="BK87" s="17">
        <f t="shared" si="227"/>
        <v>-291555382.62914556</v>
      </c>
      <c r="BL87" s="17">
        <f t="shared" si="228"/>
        <v>-306859688.57113618</v>
      </c>
      <c r="BM87" s="17">
        <f t="shared" si="229"/>
        <v>-323453010.38752955</v>
      </c>
      <c r="BN87" s="17">
        <f t="shared" si="230"/>
        <v>-340909958.72208518</v>
      </c>
      <c r="BO87" s="20">
        <f t="shared" si="231"/>
        <v>-358800000</v>
      </c>
      <c r="BQ87" s="1"/>
      <c r="BR87" s="20">
        <f t="shared" si="190"/>
        <v>0.39486027770820475</v>
      </c>
      <c r="BS87" s="17">
        <f t="shared" si="232"/>
        <v>0.39486027770820475</v>
      </c>
      <c r="BT87" s="17">
        <f t="shared" si="233"/>
        <v>0.39486027770820475</v>
      </c>
      <c r="BU87" s="17">
        <f t="shared" si="234"/>
        <v>0.39486027770820475</v>
      </c>
      <c r="BV87" s="17">
        <f t="shared" si="235"/>
        <v>0.39486027770820475</v>
      </c>
      <c r="BW87" s="17">
        <f t="shared" si="236"/>
        <v>0.39486027770820475</v>
      </c>
      <c r="BX87" s="17">
        <f t="shared" si="237"/>
        <v>0.39486027770820475</v>
      </c>
      <c r="BY87" s="17">
        <f t="shared" si="238"/>
        <v>0.39486027770820475</v>
      </c>
      <c r="BZ87" s="17">
        <f t="shared" si="239"/>
        <v>0.39486027770820475</v>
      </c>
      <c r="CA87" s="17">
        <f t="shared" si="240"/>
        <v>0.39486027770820475</v>
      </c>
      <c r="CB87" s="17">
        <f t="shared" si="241"/>
        <v>0.39486027770820475</v>
      </c>
      <c r="CC87" s="17">
        <f t="shared" si="242"/>
        <v>0.39486027770820475</v>
      </c>
      <c r="CD87" s="17">
        <f t="shared" si="243"/>
        <v>0.39486027770820475</v>
      </c>
      <c r="CE87" s="17">
        <f t="shared" si="244"/>
        <v>0.39486027770820475</v>
      </c>
      <c r="CF87" s="17">
        <f t="shared" si="245"/>
        <v>0.39486027770820475</v>
      </c>
      <c r="CG87" s="17">
        <f t="shared" si="246"/>
        <v>0.39486027770820475</v>
      </c>
      <c r="CH87" s="17">
        <f t="shared" si="247"/>
        <v>0.39486027770820475</v>
      </c>
      <c r="CI87" s="17">
        <f t="shared" si="248"/>
        <v>0.39486027770820475</v>
      </c>
      <c r="CJ87" s="17">
        <f t="shared" si="249"/>
        <v>0.39486027770820475</v>
      </c>
      <c r="CK87" s="17">
        <f t="shared" si="250"/>
        <v>0.39486027770820475</v>
      </c>
      <c r="CL87" s="17">
        <f t="shared" si="251"/>
        <v>0.39486027770820475</v>
      </c>
      <c r="CM87" s="17">
        <f t="shared" si="252"/>
        <v>0.39486027770820475</v>
      </c>
      <c r="CN87" s="17">
        <f t="shared" si="253"/>
        <v>0.39486027770820475</v>
      </c>
      <c r="CO87" s="17">
        <f t="shared" si="254"/>
        <v>0.39486027770820475</v>
      </c>
      <c r="CP87" s="17">
        <f t="shared" si="220"/>
        <v>0.39486027770820475</v>
      </c>
      <c r="CQ87" s="17">
        <f t="shared" si="221"/>
        <v>0.39486027770820475</v>
      </c>
      <c r="CR87" s="17">
        <f t="shared" si="222"/>
        <v>0.39486027770820475</v>
      </c>
      <c r="CS87" s="17">
        <f t="shared" si="223"/>
        <v>0.39486027770820475</v>
      </c>
      <c r="CT87" s="17">
        <f t="shared" si="224"/>
        <v>0.39486027770820475</v>
      </c>
      <c r="CU87" s="20">
        <f t="shared" si="225"/>
        <v>0.39486027770820475</v>
      </c>
      <c r="CW87" s="1"/>
      <c r="CX87" s="20">
        <f t="shared" si="131"/>
        <v>181.54191668753859</v>
      </c>
      <c r="CY87" s="17">
        <f t="shared" si="132"/>
        <v>169.4335262036029</v>
      </c>
      <c r="CZ87" s="17">
        <f t="shared" si="133"/>
        <v>157.4330086886286</v>
      </c>
      <c r="DA87" s="17">
        <f t="shared" si="134"/>
        <v>145.64617256232594</v>
      </c>
      <c r="DB87" s="17">
        <f t="shared" si="135"/>
        <v>134.17477000098319</v>
      </c>
      <c r="DC87" s="17">
        <f t="shared" si="136"/>
        <v>123.11464661424031</v>
      </c>
      <c r="DD87" s="17">
        <f t="shared" si="137"/>
        <v>112.55409267698943</v>
      </c>
      <c r="DE87" s="17">
        <f t="shared" si="138"/>
        <v>102.57244443691695</v>
      </c>
      <c r="DF87" s="17">
        <f t="shared" si="139"/>
        <v>93.238969934237403</v>
      </c>
      <c r="DG87" s="17">
        <f t="shared" si="140"/>
        <v>84.612058343575285</v>
      </c>
      <c r="DH87" s="17">
        <f t="shared" si="141"/>
        <v>76.738716223390227</v>
      </c>
      <c r="DI87" s="17">
        <f t="shared" si="142"/>
        <v>69.65435934510441</v>
      </c>
      <c r="DJ87" s="17">
        <f t="shared" si="143"/>
        <v>63.382875950672783</v>
      </c>
      <c r="DK87" s="17">
        <f t="shared" si="144"/>
        <v>57.936927122276451</v>
      </c>
      <c r="DL87" s="17">
        <f t="shared" si="145"/>
        <v>53.318442943986653</v>
      </c>
      <c r="DM87" s="17">
        <f t="shared" si="146"/>
        <v>49.519269502077876</v>
      </c>
      <c r="DN87" s="17">
        <f t="shared" si="147"/>
        <v>46.521921425641132</v>
      </c>
      <c r="DO87" s="17">
        <f t="shared" si="148"/>
        <v>44.300397266812368</v>
      </c>
      <c r="DP87" s="17">
        <f t="shared" si="149"/>
        <v>42.821020003992658</v>
      </c>
      <c r="DQ87" s="17">
        <f t="shared" si="150"/>
        <v>42.043271623374395</v>
      </c>
      <c r="DR87" s="17">
        <f t="shared" si="151"/>
        <v>41.9205983304442</v>
      </c>
      <c r="DS87" s="17">
        <f t="shared" si="152"/>
        <v>42.401170713272506</v>
      </c>
      <c r="DT87" s="17">
        <f t="shared" si="153"/>
        <v>43.428590455920265</v>
      </c>
      <c r="DU87" s="17">
        <f t="shared" si="154"/>
        <v>44.942541455559763</v>
      </c>
      <c r="DV87" s="17">
        <f t="shared" si="155"/>
        <v>46.879388080857197</v>
      </c>
      <c r="DW87" s="17">
        <f t="shared" si="156"/>
        <v>49.172726665796894</v>
      </c>
      <c r="DX87" s="17">
        <f t="shared" si="157"/>
        <v>51.753898195229688</v>
      </c>
      <c r="DY87" s="17">
        <f t="shared" si="158"/>
        <v>54.552470702440026</v>
      </c>
      <c r="DZ87" s="17">
        <f t="shared" si="159"/>
        <v>57.496699483720747</v>
      </c>
      <c r="EA87" s="20">
        <f t="shared" si="160"/>
        <v>60.513972229179537</v>
      </c>
    </row>
    <row r="88" spans="5:131" x14ac:dyDescent="0.25">
      <c r="E88" s="1"/>
      <c r="F88" s="15">
        <v>300</v>
      </c>
      <c r="G88" s="16">
        <f t="shared" si="191"/>
        <v>279.99075248592408</v>
      </c>
      <c r="H88" s="16">
        <f t="shared" si="192"/>
        <v>260.15976623117001</v>
      </c>
      <c r="I88" s="16">
        <f t="shared" si="193"/>
        <v>240.68189080487446</v>
      </c>
      <c r="J88" s="16">
        <f t="shared" si="194"/>
        <v>221.72527278961999</v>
      </c>
      <c r="K88" s="16">
        <f t="shared" si="195"/>
        <v>203.44829810209529</v>
      </c>
      <c r="L88" s="16">
        <f t="shared" si="196"/>
        <v>185.99686738580419</v>
      </c>
      <c r="M88" s="16">
        <f t="shared" si="197"/>
        <v>169.5020846565036</v>
      </c>
      <c r="N88" s="16">
        <f t="shared" si="198"/>
        <v>154.07841610714499</v>
      </c>
      <c r="O88" s="16">
        <f t="shared" si="199"/>
        <v>139.82235048648118</v>
      </c>
      <c r="P88" s="16">
        <f t="shared" si="200"/>
        <v>126.81156664573939</v>
      </c>
      <c r="Q88" s="16">
        <f t="shared" si="201"/>
        <v>115.10458953398108</v>
      </c>
      <c r="R88" s="16">
        <f t="shared" si="202"/>
        <v>104.74089473192751</v>
      </c>
      <c r="S88" s="16">
        <f t="shared" si="203"/>
        <v>95.741404816158393</v>
      </c>
      <c r="T88" s="16">
        <f t="shared" si="204"/>
        <v>88.109309271680502</v>
      </c>
      <c r="U88" s="16">
        <f t="shared" si="205"/>
        <v>81.831133667011102</v>
      </c>
      <c r="V88" s="16">
        <f t="shared" si="206"/>
        <v>76.877983235760055</v>
      </c>
      <c r="W88" s="16">
        <f t="shared" si="207"/>
        <v>73.206890301362392</v>
      </c>
      <c r="X88" s="16">
        <f t="shared" si="208"/>
        <v>70.762203217829054</v>
      </c>
      <c r="Y88" s="16">
        <f t="shared" si="209"/>
        <v>69.476965524833517</v>
      </c>
      <c r="Z88" s="16">
        <f t="shared" si="210"/>
        <v>69.274246568514471</v>
      </c>
      <c r="AA88" s="16">
        <f t="shared" si="211"/>
        <v>70.068397679613682</v>
      </c>
      <c r="AB88" s="16">
        <f t="shared" si="212"/>
        <v>71.76622002509896</v>
      </c>
      <c r="AC88" s="16">
        <f t="shared" si="213"/>
        <v>74.26804058631717</v>
      </c>
      <c r="AD88" s="16">
        <f t="shared" si="214"/>
        <v>77.468700787505384</v>
      </c>
      <c r="AE88" s="16">
        <f t="shared" si="215"/>
        <v>81.258467845358282</v>
      </c>
      <c r="AF88" s="16">
        <f t="shared" si="216"/>
        <v>85.523881987496139</v>
      </c>
      <c r="AG88" s="16">
        <f t="shared" si="217"/>
        <v>90.148553619712786</v>
      </c>
      <c r="AH88" s="16">
        <f t="shared" si="218"/>
        <v>95.013923835586723</v>
      </c>
      <c r="AI88" s="15">
        <v>100</v>
      </c>
      <c r="AK88" s="1"/>
      <c r="AL88" s="20">
        <f t="shared" si="219"/>
        <v>-1076400000</v>
      </c>
      <c r="AM88" s="17">
        <f t="shared" si="255"/>
        <v>-1004606819.9194956</v>
      </c>
      <c r="AN88" s="17">
        <f t="shared" si="256"/>
        <v>-933453241.23743796</v>
      </c>
      <c r="AO88" s="17">
        <f t="shared" si="257"/>
        <v>-863566624.20788956</v>
      </c>
      <c r="AP88" s="17">
        <f t="shared" si="258"/>
        <v>-795550278.76915646</v>
      </c>
      <c r="AQ88" s="17">
        <f t="shared" si="259"/>
        <v>-729972493.59031773</v>
      </c>
      <c r="AR88" s="17">
        <f t="shared" si="260"/>
        <v>-667356760.18026543</v>
      </c>
      <c r="AS88" s="17">
        <f t="shared" si="261"/>
        <v>-608173479.74753475</v>
      </c>
      <c r="AT88" s="17">
        <f t="shared" si="262"/>
        <v>-552833356.99243617</v>
      </c>
      <c r="AU88" s="17">
        <f t="shared" si="263"/>
        <v>-501682593.54549438</v>
      </c>
      <c r="AV88" s="17">
        <f t="shared" si="264"/>
        <v>-454999901.12491292</v>
      </c>
      <c r="AW88" s="17">
        <f t="shared" si="265"/>
        <v>-412995267.24792409</v>
      </c>
      <c r="AX88" s="17">
        <f t="shared" si="266"/>
        <v>-375810330.2981559</v>
      </c>
      <c r="AY88" s="17">
        <f t="shared" si="267"/>
        <v>-343520160.4803763</v>
      </c>
      <c r="AZ88" s="17">
        <f t="shared" si="268"/>
        <v>-316136201.66678965</v>
      </c>
      <c r="BA88" s="17">
        <f t="shared" si="269"/>
        <v>-293610107.5972358</v>
      </c>
      <c r="BB88" s="17">
        <f t="shared" si="270"/>
        <v>-275838203.8499071</v>
      </c>
      <c r="BC88" s="17">
        <f t="shared" si="271"/>
        <v>-262666322.40128827</v>
      </c>
      <c r="BD88" s="17">
        <f t="shared" si="272"/>
        <v>-253894785.14557064</v>
      </c>
      <c r="BE88" s="17">
        <f t="shared" si="273"/>
        <v>-249283352.30310261</v>
      </c>
      <c r="BF88" s="17">
        <f t="shared" si="274"/>
        <v>-248555996.68782991</v>
      </c>
      <c r="BG88" s="17">
        <f t="shared" si="275"/>
        <v>-251405410.87445393</v>
      </c>
      <c r="BH88" s="17">
        <f t="shared" si="276"/>
        <v>-257497197.45005506</v>
      </c>
      <c r="BI88" s="17">
        <f t="shared" si="277"/>
        <v>-266473729.62370601</v>
      </c>
      <c r="BJ88" s="17">
        <f t="shared" si="226"/>
        <v>-277957698.4255693</v>
      </c>
      <c r="BK88" s="17">
        <f t="shared" si="227"/>
        <v>-291555382.62914544</v>
      </c>
      <c r="BL88" s="17">
        <f t="shared" si="228"/>
        <v>-306859688.57113612</v>
      </c>
      <c r="BM88" s="17">
        <f t="shared" si="229"/>
        <v>-323453010.38752943</v>
      </c>
      <c r="BN88" s="17">
        <f t="shared" si="230"/>
        <v>-340909958.72208512</v>
      </c>
      <c r="BO88" s="20">
        <f t="shared" si="231"/>
        <v>-358800000</v>
      </c>
      <c r="BQ88" s="1"/>
      <c r="BR88" s="20">
        <f t="shared" si="190"/>
        <v>0.39492590212780204</v>
      </c>
      <c r="BS88" s="17">
        <f t="shared" si="232"/>
        <v>0.39492590212780204</v>
      </c>
      <c r="BT88" s="17">
        <f t="shared" si="233"/>
        <v>0.39492590212780204</v>
      </c>
      <c r="BU88" s="17">
        <f t="shared" si="234"/>
        <v>0.39492590212780204</v>
      </c>
      <c r="BV88" s="17">
        <f t="shared" si="235"/>
        <v>0.39492590212780204</v>
      </c>
      <c r="BW88" s="17">
        <f t="shared" si="236"/>
        <v>0.39492590212780204</v>
      </c>
      <c r="BX88" s="17">
        <f t="shared" si="237"/>
        <v>0.39492590212780204</v>
      </c>
      <c r="BY88" s="17">
        <f t="shared" si="238"/>
        <v>0.39492590212780204</v>
      </c>
      <c r="BZ88" s="17">
        <f t="shared" si="239"/>
        <v>0.39492590212780204</v>
      </c>
      <c r="CA88" s="17">
        <f t="shared" si="240"/>
        <v>0.39492590212780204</v>
      </c>
      <c r="CB88" s="17">
        <f t="shared" si="241"/>
        <v>0.39492590212780204</v>
      </c>
      <c r="CC88" s="17">
        <f t="shared" si="242"/>
        <v>0.39492590212780204</v>
      </c>
      <c r="CD88" s="17">
        <f t="shared" si="243"/>
        <v>0.39492590212780204</v>
      </c>
      <c r="CE88" s="17">
        <f t="shared" si="244"/>
        <v>0.39492590212780204</v>
      </c>
      <c r="CF88" s="17">
        <f t="shared" si="245"/>
        <v>0.39492590212780204</v>
      </c>
      <c r="CG88" s="17">
        <f t="shared" si="246"/>
        <v>0.39492590212780204</v>
      </c>
      <c r="CH88" s="17">
        <f t="shared" si="247"/>
        <v>0.39492590212780204</v>
      </c>
      <c r="CI88" s="17">
        <f t="shared" si="248"/>
        <v>0.39492590212780204</v>
      </c>
      <c r="CJ88" s="17">
        <f t="shared" si="249"/>
        <v>0.39492590212780204</v>
      </c>
      <c r="CK88" s="17">
        <f t="shared" si="250"/>
        <v>0.39492590212780204</v>
      </c>
      <c r="CL88" s="17">
        <f t="shared" si="251"/>
        <v>0.39492590212780204</v>
      </c>
      <c r="CM88" s="17">
        <f t="shared" si="252"/>
        <v>0.39492590212780204</v>
      </c>
      <c r="CN88" s="17">
        <f t="shared" si="253"/>
        <v>0.39492590212780204</v>
      </c>
      <c r="CO88" s="17">
        <f t="shared" si="254"/>
        <v>0.39492590212780204</v>
      </c>
      <c r="CP88" s="17">
        <f t="shared" si="220"/>
        <v>0.39492590212780204</v>
      </c>
      <c r="CQ88" s="17">
        <f t="shared" si="221"/>
        <v>0.39492590212780204</v>
      </c>
      <c r="CR88" s="17">
        <f t="shared" si="222"/>
        <v>0.39492590212780204</v>
      </c>
      <c r="CS88" s="17">
        <f t="shared" si="223"/>
        <v>0.39492590212780204</v>
      </c>
      <c r="CT88" s="17">
        <f t="shared" si="224"/>
        <v>0.39492590212780204</v>
      </c>
      <c r="CU88" s="20">
        <f t="shared" si="225"/>
        <v>0.39492590212780204</v>
      </c>
      <c r="CW88" s="1"/>
      <c r="CX88" s="20">
        <f t="shared" si="131"/>
        <v>181.52222936165938</v>
      </c>
      <c r="CY88" s="17">
        <f t="shared" si="132"/>
        <v>169.41515197297838</v>
      </c>
      <c r="CZ88" s="17">
        <f t="shared" si="133"/>
        <v>157.4159358549671</v>
      </c>
      <c r="DA88" s="17">
        <f t="shared" si="134"/>
        <v>145.63037795293425</v>
      </c>
      <c r="DB88" s="17">
        <f t="shared" si="135"/>
        <v>134.16021940864633</v>
      </c>
      <c r="DC88" s="17">
        <f t="shared" si="136"/>
        <v>123.1012954377593</v>
      </c>
      <c r="DD88" s="17">
        <f t="shared" si="137"/>
        <v>112.5418867405203</v>
      </c>
      <c r="DE88" s="17">
        <f t="shared" si="138"/>
        <v>102.56132096099083</v>
      </c>
      <c r="DF88" s="17">
        <f t="shared" si="139"/>
        <v>93.228858627607877</v>
      </c>
      <c r="DG88" s="17">
        <f t="shared" si="140"/>
        <v>84.60288258297787</v>
      </c>
      <c r="DH88" s="17">
        <f t="shared" si="141"/>
        <v>76.730394287930864</v>
      </c>
      <c r="DI88" s="17">
        <f t="shared" si="142"/>
        <v>69.646805673223241</v>
      </c>
      <c r="DJ88" s="17">
        <f t="shared" si="143"/>
        <v>63.376002390247891</v>
      </c>
      <c r="DK88" s="17">
        <f t="shared" si="144"/>
        <v>57.930644148153952</v>
      </c>
      <c r="DL88" s="17">
        <f t="shared" si="145"/>
        <v>53.312660821704561</v>
      </c>
      <c r="DM88" s="17">
        <f t="shared" si="146"/>
        <v>49.513899381425979</v>
      </c>
      <c r="DN88" s="17">
        <f t="shared" si="147"/>
        <v>46.516876352611469</v>
      </c>
      <c r="DO88" s="17">
        <f t="shared" si="148"/>
        <v>44.295593107125811</v>
      </c>
      <c r="DP88" s="17">
        <f t="shared" si="149"/>
        <v>42.816376275477054</v>
      </c>
      <c r="DQ88" s="17">
        <f t="shared" si="150"/>
        <v>42.038712237836435</v>
      </c>
      <c r="DR88" s="17">
        <f t="shared" si="151"/>
        <v>41.916052248220097</v>
      </c>
      <c r="DS88" s="17">
        <f t="shared" si="152"/>
        <v>42.396572515342655</v>
      </c>
      <c r="DT88" s="17">
        <f t="shared" si="153"/>
        <v>43.423880839384417</v>
      </c>
      <c r="DU88" s="17">
        <f t="shared" si="154"/>
        <v>44.937667658501645</v>
      </c>
      <c r="DV88" s="17">
        <f t="shared" si="155"/>
        <v>46.874304242331043</v>
      </c>
      <c r="DW88" s="17">
        <f t="shared" si="156"/>
        <v>49.16739412600716</v>
      </c>
      <c r="DX88" s="17">
        <f t="shared" si="157"/>
        <v>51.748285740112543</v>
      </c>
      <c r="DY88" s="17">
        <f t="shared" si="158"/>
        <v>54.546554755931176</v>
      </c>
      <c r="DZ88" s="17">
        <f t="shared" si="159"/>
        <v>57.490464250115352</v>
      </c>
      <c r="EA88" s="20">
        <f t="shared" si="160"/>
        <v>60.507409787219792</v>
      </c>
    </row>
    <row r="89" spans="5:131" x14ac:dyDescent="0.25">
      <c r="E89" s="1"/>
      <c r="F89" s="15">
        <v>300</v>
      </c>
      <c r="G89" s="16">
        <f t="shared" si="191"/>
        <v>279.99075248592408</v>
      </c>
      <c r="H89" s="16">
        <f t="shared" si="192"/>
        <v>260.15976623117001</v>
      </c>
      <c r="I89" s="16">
        <f t="shared" si="193"/>
        <v>240.68189080487446</v>
      </c>
      <c r="J89" s="16">
        <f t="shared" si="194"/>
        <v>221.72527278962002</v>
      </c>
      <c r="K89" s="16">
        <f t="shared" si="195"/>
        <v>203.44829810209532</v>
      </c>
      <c r="L89" s="16">
        <f t="shared" si="196"/>
        <v>185.99686738580419</v>
      </c>
      <c r="M89" s="16">
        <f t="shared" si="197"/>
        <v>169.5020846565036</v>
      </c>
      <c r="N89" s="16">
        <f t="shared" si="198"/>
        <v>154.07841610714502</v>
      </c>
      <c r="O89" s="16">
        <f t="shared" si="199"/>
        <v>139.82235048648118</v>
      </c>
      <c r="P89" s="16">
        <f t="shared" si="200"/>
        <v>126.81156664573939</v>
      </c>
      <c r="Q89" s="16">
        <f t="shared" si="201"/>
        <v>115.10458953398108</v>
      </c>
      <c r="R89" s="16">
        <f t="shared" si="202"/>
        <v>104.74089473192753</v>
      </c>
      <c r="S89" s="16">
        <f t="shared" si="203"/>
        <v>95.741404816158393</v>
      </c>
      <c r="T89" s="16">
        <f t="shared" si="204"/>
        <v>88.109309271680502</v>
      </c>
      <c r="U89" s="16">
        <f t="shared" si="205"/>
        <v>81.831133667011102</v>
      </c>
      <c r="V89" s="16">
        <f t="shared" si="206"/>
        <v>76.877983235760055</v>
      </c>
      <c r="W89" s="16">
        <f t="shared" si="207"/>
        <v>73.206890301362392</v>
      </c>
      <c r="X89" s="16">
        <f t="shared" si="208"/>
        <v>70.762203217829054</v>
      </c>
      <c r="Y89" s="16">
        <f t="shared" si="209"/>
        <v>69.476965524833517</v>
      </c>
      <c r="Z89" s="16">
        <f t="shared" si="210"/>
        <v>69.274246568514471</v>
      </c>
      <c r="AA89" s="16">
        <f t="shared" si="211"/>
        <v>70.068397679613682</v>
      </c>
      <c r="AB89" s="16">
        <f t="shared" si="212"/>
        <v>71.76622002509896</v>
      </c>
      <c r="AC89" s="16">
        <f t="shared" si="213"/>
        <v>74.26804058631717</v>
      </c>
      <c r="AD89" s="16">
        <f t="shared" si="214"/>
        <v>77.468700787505398</v>
      </c>
      <c r="AE89" s="16">
        <f t="shared" si="215"/>
        <v>81.258467845358282</v>
      </c>
      <c r="AF89" s="16">
        <f t="shared" si="216"/>
        <v>85.523881987496139</v>
      </c>
      <c r="AG89" s="16">
        <f t="shared" si="217"/>
        <v>90.1485536197128</v>
      </c>
      <c r="AH89" s="16">
        <f t="shared" si="218"/>
        <v>95.013923835586723</v>
      </c>
      <c r="AI89" s="15">
        <v>100</v>
      </c>
      <c r="AK89" s="1"/>
      <c r="AL89" s="20">
        <f t="shared" si="219"/>
        <v>-1076400000</v>
      </c>
      <c r="AM89" s="17">
        <f t="shared" si="255"/>
        <v>-1004606819.9194956</v>
      </c>
      <c r="AN89" s="17">
        <f t="shared" si="256"/>
        <v>-933453241.23743796</v>
      </c>
      <c r="AO89" s="17">
        <f t="shared" si="257"/>
        <v>-863566624.20788956</v>
      </c>
      <c r="AP89" s="17">
        <f t="shared" si="258"/>
        <v>-795550278.76915669</v>
      </c>
      <c r="AQ89" s="17">
        <f t="shared" si="259"/>
        <v>-729972493.59031796</v>
      </c>
      <c r="AR89" s="17">
        <f t="shared" si="260"/>
        <v>-667356760.18026543</v>
      </c>
      <c r="AS89" s="17">
        <f t="shared" si="261"/>
        <v>-608173479.74753475</v>
      </c>
      <c r="AT89" s="17">
        <f t="shared" si="262"/>
        <v>-552833356.99243629</v>
      </c>
      <c r="AU89" s="17">
        <f t="shared" si="263"/>
        <v>-501682593.5454945</v>
      </c>
      <c r="AV89" s="17">
        <f t="shared" si="264"/>
        <v>-454999901.12491292</v>
      </c>
      <c r="AW89" s="17">
        <f t="shared" si="265"/>
        <v>-412995267.24792409</v>
      </c>
      <c r="AX89" s="17">
        <f t="shared" si="266"/>
        <v>-375810330.2981559</v>
      </c>
      <c r="AY89" s="17">
        <f t="shared" si="267"/>
        <v>-343520160.4803763</v>
      </c>
      <c r="AZ89" s="17">
        <f t="shared" si="268"/>
        <v>-316136201.66678965</v>
      </c>
      <c r="BA89" s="17">
        <f t="shared" si="269"/>
        <v>-293610107.5972358</v>
      </c>
      <c r="BB89" s="17">
        <f t="shared" si="270"/>
        <v>-275838203.8499071</v>
      </c>
      <c r="BC89" s="17">
        <f t="shared" si="271"/>
        <v>-262666322.40128827</v>
      </c>
      <c r="BD89" s="17">
        <f t="shared" si="272"/>
        <v>-253894785.14557064</v>
      </c>
      <c r="BE89" s="17">
        <f t="shared" si="273"/>
        <v>-249283352.30310261</v>
      </c>
      <c r="BF89" s="17">
        <f t="shared" si="274"/>
        <v>-248555996.68782991</v>
      </c>
      <c r="BG89" s="17">
        <f t="shared" si="275"/>
        <v>-251405410.87445393</v>
      </c>
      <c r="BH89" s="17">
        <f t="shared" si="276"/>
        <v>-257497197.45005506</v>
      </c>
      <c r="BI89" s="17">
        <f t="shared" si="277"/>
        <v>-266473729.62370601</v>
      </c>
      <c r="BJ89" s="17">
        <f t="shared" si="226"/>
        <v>-277957698.4255693</v>
      </c>
      <c r="BK89" s="17">
        <f t="shared" si="227"/>
        <v>-291555382.62914544</v>
      </c>
      <c r="BL89" s="17">
        <f t="shared" si="228"/>
        <v>-306859688.57113618</v>
      </c>
      <c r="BM89" s="17">
        <f t="shared" si="229"/>
        <v>-323453010.38752949</v>
      </c>
      <c r="BN89" s="17">
        <f t="shared" si="230"/>
        <v>-340909958.72208518</v>
      </c>
      <c r="BO89" s="20">
        <f t="shared" si="231"/>
        <v>-358800000</v>
      </c>
      <c r="BQ89" s="1"/>
      <c r="BR89" s="20">
        <f t="shared" si="190"/>
        <v>0.39534673185434271</v>
      </c>
      <c r="BS89" s="17">
        <f t="shared" si="232"/>
        <v>0.39534673185434271</v>
      </c>
      <c r="BT89" s="17">
        <f t="shared" si="233"/>
        <v>0.39534673185434271</v>
      </c>
      <c r="BU89" s="17">
        <f t="shared" si="234"/>
        <v>0.39534673185434271</v>
      </c>
      <c r="BV89" s="17">
        <f t="shared" si="235"/>
        <v>0.39534673185434271</v>
      </c>
      <c r="BW89" s="17">
        <f t="shared" si="236"/>
        <v>0.39534673185434271</v>
      </c>
      <c r="BX89" s="17">
        <f t="shared" si="237"/>
        <v>0.39534673185434271</v>
      </c>
      <c r="BY89" s="17">
        <f t="shared" si="238"/>
        <v>0.39534673185434271</v>
      </c>
      <c r="BZ89" s="17">
        <f t="shared" si="239"/>
        <v>0.39534673185434271</v>
      </c>
      <c r="CA89" s="17">
        <f t="shared" si="240"/>
        <v>0.39534673185434271</v>
      </c>
      <c r="CB89" s="17">
        <f t="shared" si="241"/>
        <v>0.39534673185434271</v>
      </c>
      <c r="CC89" s="17">
        <f t="shared" si="242"/>
        <v>0.39534673185434271</v>
      </c>
      <c r="CD89" s="17">
        <f t="shared" si="243"/>
        <v>0.39534673185434271</v>
      </c>
      <c r="CE89" s="17">
        <f t="shared" si="244"/>
        <v>0.39534673185434271</v>
      </c>
      <c r="CF89" s="17">
        <f t="shared" si="245"/>
        <v>0.39534673185434271</v>
      </c>
      <c r="CG89" s="17">
        <f t="shared" si="246"/>
        <v>0.39534673185434271</v>
      </c>
      <c r="CH89" s="17">
        <f t="shared" si="247"/>
        <v>0.39534673185434271</v>
      </c>
      <c r="CI89" s="17">
        <f t="shared" si="248"/>
        <v>0.39534673185434271</v>
      </c>
      <c r="CJ89" s="17">
        <f t="shared" si="249"/>
        <v>0.39534673185434271</v>
      </c>
      <c r="CK89" s="17">
        <f t="shared" si="250"/>
        <v>0.39534673185434271</v>
      </c>
      <c r="CL89" s="17">
        <f t="shared" si="251"/>
        <v>0.39534673185434271</v>
      </c>
      <c r="CM89" s="17">
        <f t="shared" si="252"/>
        <v>0.39534673185434271</v>
      </c>
      <c r="CN89" s="17">
        <f t="shared" si="253"/>
        <v>0.39534673185434271</v>
      </c>
      <c r="CO89" s="17">
        <f t="shared" si="254"/>
        <v>0.39534673185434271</v>
      </c>
      <c r="CP89" s="17">
        <f t="shared" si="220"/>
        <v>0.39534673185434271</v>
      </c>
      <c r="CQ89" s="17">
        <f t="shared" si="221"/>
        <v>0.39534673185434271</v>
      </c>
      <c r="CR89" s="17">
        <f t="shared" si="222"/>
        <v>0.39534673185434271</v>
      </c>
      <c r="CS89" s="17">
        <f t="shared" si="223"/>
        <v>0.39534673185434271</v>
      </c>
      <c r="CT89" s="17">
        <f t="shared" si="224"/>
        <v>0.39534673185434271</v>
      </c>
      <c r="CU89" s="20">
        <f t="shared" si="225"/>
        <v>0.39534673185434271</v>
      </c>
      <c r="CW89" s="1"/>
      <c r="CX89" s="20">
        <f t="shared" si="131"/>
        <v>181.39598044369723</v>
      </c>
      <c r="CY89" s="17">
        <f t="shared" si="132"/>
        <v>169.29732354117584</v>
      </c>
      <c r="CZ89" s="17">
        <f t="shared" si="133"/>
        <v>157.30645289168717</v>
      </c>
      <c r="DA89" s="17">
        <f t="shared" si="134"/>
        <v>145.52909185864357</v>
      </c>
      <c r="DB89" s="17">
        <f t="shared" si="135"/>
        <v>134.06691082273113</v>
      </c>
      <c r="DC89" s="17">
        <f t="shared" si="136"/>
        <v>123.01567834610387</v>
      </c>
      <c r="DD89" s="17">
        <f t="shared" si="137"/>
        <v>112.46361372968093</v>
      </c>
      <c r="DE89" s="17">
        <f t="shared" si="138"/>
        <v>102.48998944505676</v>
      </c>
      <c r="DF89" s="17">
        <f t="shared" si="139"/>
        <v>93.164017849891721</v>
      </c>
      <c r="DG89" s="17">
        <f t="shared" si="140"/>
        <v>84.544041181458383</v>
      </c>
      <c r="DH89" s="17">
        <f t="shared" si="141"/>
        <v>76.677028211017159</v>
      </c>
      <c r="DI89" s="17">
        <f t="shared" si="142"/>
        <v>69.598366240286083</v>
      </c>
      <c r="DJ89" s="17">
        <f t="shared" si="143"/>
        <v>63.331924308160239</v>
      </c>
      <c r="DK89" s="17">
        <f t="shared" si="144"/>
        <v>57.890353318946552</v>
      </c>
      <c r="DL89" s="17">
        <f t="shared" si="145"/>
        <v>53.275581805178085</v>
      </c>
      <c r="DM89" s="17">
        <f t="shared" si="146"/>
        <v>49.479462407822382</v>
      </c>
      <c r="DN89" s="17">
        <f t="shared" si="147"/>
        <v>46.484523811949373</v>
      </c>
      <c r="DO89" s="17">
        <f t="shared" si="148"/>
        <v>44.264785471499401</v>
      </c>
      <c r="DP89" s="17">
        <f t="shared" si="149"/>
        <v>42.786597436847487</v>
      </c>
      <c r="DQ89" s="17">
        <f t="shared" si="150"/>
        <v>42.009474265433745</v>
      </c>
      <c r="DR89" s="17">
        <f t="shared" si="151"/>
        <v>41.886899585980359</v>
      </c>
      <c r="DS89" s="17">
        <f t="shared" si="152"/>
        <v>42.367085650708006</v>
      </c>
      <c r="DT89" s="17">
        <f t="shared" si="153"/>
        <v>43.393679480636393</v>
      </c>
      <c r="DU89" s="17">
        <f t="shared" si="154"/>
        <v>44.906413459291002</v>
      </c>
      <c r="DV89" s="17">
        <f t="shared" si="155"/>
        <v>46.841703110163195</v>
      </c>
      <c r="DW89" s="17">
        <f t="shared" si="156"/>
        <v>49.133198147204695</v>
      </c>
      <c r="DX89" s="17">
        <f t="shared" si="157"/>
        <v>51.71229474824306</v>
      </c>
      <c r="DY89" s="17">
        <f t="shared" si="158"/>
        <v>54.508617564763362</v>
      </c>
      <c r="DZ89" s="17">
        <f t="shared" si="159"/>
        <v>57.450479566530085</v>
      </c>
      <c r="EA89" s="20">
        <f t="shared" si="160"/>
        <v>60.465326814565742</v>
      </c>
    </row>
    <row r="90" spans="5:131" x14ac:dyDescent="0.25">
      <c r="E90" s="1"/>
      <c r="F90" s="15">
        <v>300</v>
      </c>
      <c r="G90" s="16">
        <f t="shared" si="191"/>
        <v>279.99075248592408</v>
      </c>
      <c r="H90" s="16">
        <f t="shared" si="192"/>
        <v>260.15976623117001</v>
      </c>
      <c r="I90" s="16">
        <f t="shared" si="193"/>
        <v>240.68189080487443</v>
      </c>
      <c r="J90" s="16">
        <f t="shared" si="194"/>
        <v>221.72527278961996</v>
      </c>
      <c r="K90" s="16">
        <f t="shared" si="195"/>
        <v>203.44829810209529</v>
      </c>
      <c r="L90" s="16">
        <f t="shared" si="196"/>
        <v>185.99686738580419</v>
      </c>
      <c r="M90" s="16">
        <f t="shared" si="197"/>
        <v>169.5020846565036</v>
      </c>
      <c r="N90" s="16">
        <f t="shared" si="198"/>
        <v>154.07841610714502</v>
      </c>
      <c r="O90" s="16">
        <f t="shared" si="199"/>
        <v>139.82235048648116</v>
      </c>
      <c r="P90" s="16">
        <f t="shared" si="200"/>
        <v>126.81156664573939</v>
      </c>
      <c r="Q90" s="16">
        <f t="shared" si="201"/>
        <v>115.10458953398107</v>
      </c>
      <c r="R90" s="16">
        <f t="shared" si="202"/>
        <v>104.74089473192751</v>
      </c>
      <c r="S90" s="16">
        <f t="shared" si="203"/>
        <v>95.741404816158393</v>
      </c>
      <c r="T90" s="16">
        <f t="shared" si="204"/>
        <v>88.109309271680502</v>
      </c>
      <c r="U90" s="16">
        <f t="shared" si="205"/>
        <v>81.831133667011102</v>
      </c>
      <c r="V90" s="16">
        <f t="shared" si="206"/>
        <v>76.877983235760055</v>
      </c>
      <c r="W90" s="16">
        <f t="shared" si="207"/>
        <v>73.206890301362392</v>
      </c>
      <c r="X90" s="16">
        <f t="shared" si="208"/>
        <v>70.76220321782904</v>
      </c>
      <c r="Y90" s="16">
        <f t="shared" si="209"/>
        <v>69.476965524833503</v>
      </c>
      <c r="Z90" s="16">
        <f t="shared" si="210"/>
        <v>69.274246568514457</v>
      </c>
      <c r="AA90" s="16">
        <f t="shared" si="211"/>
        <v>70.068397679613668</v>
      </c>
      <c r="AB90" s="16">
        <f t="shared" si="212"/>
        <v>71.766220025098946</v>
      </c>
      <c r="AC90" s="16">
        <f t="shared" si="213"/>
        <v>74.26804058631717</v>
      </c>
      <c r="AD90" s="16">
        <f t="shared" si="214"/>
        <v>77.468700787505384</v>
      </c>
      <c r="AE90" s="16">
        <f t="shared" si="215"/>
        <v>81.258467845358268</v>
      </c>
      <c r="AF90" s="16">
        <f t="shared" si="216"/>
        <v>85.523881987496139</v>
      </c>
      <c r="AG90" s="16">
        <f t="shared" si="217"/>
        <v>90.148553619712786</v>
      </c>
      <c r="AH90" s="16">
        <f t="shared" si="218"/>
        <v>95.013923835586723</v>
      </c>
      <c r="AI90" s="15">
        <v>100</v>
      </c>
      <c r="AK90" s="1"/>
      <c r="AL90" s="20">
        <f t="shared" si="219"/>
        <v>-1076400000</v>
      </c>
      <c r="AM90" s="17">
        <f t="shared" si="255"/>
        <v>-1004606819.9194956</v>
      </c>
      <c r="AN90" s="17">
        <f t="shared" si="256"/>
        <v>-933453241.23743796</v>
      </c>
      <c r="AO90" s="17">
        <f t="shared" si="257"/>
        <v>-863566624.2078892</v>
      </c>
      <c r="AP90" s="17">
        <f t="shared" si="258"/>
        <v>-795550278.76915634</v>
      </c>
      <c r="AQ90" s="17">
        <f t="shared" si="259"/>
        <v>-729972493.59031773</v>
      </c>
      <c r="AR90" s="17">
        <f t="shared" si="260"/>
        <v>-667356760.18026543</v>
      </c>
      <c r="AS90" s="17">
        <f t="shared" si="261"/>
        <v>-608173479.74753475</v>
      </c>
      <c r="AT90" s="17">
        <f t="shared" si="262"/>
        <v>-552833356.99243617</v>
      </c>
      <c r="AU90" s="17">
        <f t="shared" si="263"/>
        <v>-501682593.54549438</v>
      </c>
      <c r="AV90" s="17">
        <f t="shared" si="264"/>
        <v>-454999901.12491292</v>
      </c>
      <c r="AW90" s="17">
        <f t="shared" si="265"/>
        <v>-412995267.24792409</v>
      </c>
      <c r="AX90" s="17">
        <f t="shared" si="266"/>
        <v>-375810330.2981559</v>
      </c>
      <c r="AY90" s="17">
        <f t="shared" si="267"/>
        <v>-343520160.4803763</v>
      </c>
      <c r="AZ90" s="17">
        <f t="shared" si="268"/>
        <v>-316136201.66678965</v>
      </c>
      <c r="BA90" s="17">
        <f t="shared" si="269"/>
        <v>-293610107.5972358</v>
      </c>
      <c r="BB90" s="17">
        <f t="shared" si="270"/>
        <v>-275838203.8499071</v>
      </c>
      <c r="BC90" s="17">
        <f t="shared" si="271"/>
        <v>-262666322.40128827</v>
      </c>
      <c r="BD90" s="17">
        <f t="shared" si="272"/>
        <v>-253894785.14557061</v>
      </c>
      <c r="BE90" s="17">
        <f t="shared" si="273"/>
        <v>-249283352.30310255</v>
      </c>
      <c r="BF90" s="17">
        <f t="shared" si="274"/>
        <v>-248555996.68782988</v>
      </c>
      <c r="BG90" s="17">
        <f t="shared" si="275"/>
        <v>-251405410.87445384</v>
      </c>
      <c r="BH90" s="17">
        <f t="shared" si="276"/>
        <v>-257497197.450055</v>
      </c>
      <c r="BI90" s="17">
        <f t="shared" si="277"/>
        <v>-266473729.62370601</v>
      </c>
      <c r="BJ90" s="17">
        <f t="shared" si="226"/>
        <v>-277957698.4255693</v>
      </c>
      <c r="BK90" s="17">
        <f t="shared" si="227"/>
        <v>-291555382.62914544</v>
      </c>
      <c r="BL90" s="17">
        <f t="shared" si="228"/>
        <v>-306859688.57113612</v>
      </c>
      <c r="BM90" s="17">
        <f t="shared" si="229"/>
        <v>-323453010.38752943</v>
      </c>
      <c r="BN90" s="17">
        <f t="shared" si="230"/>
        <v>-340909958.72208512</v>
      </c>
      <c r="BO90" s="20">
        <f t="shared" si="231"/>
        <v>-358800000</v>
      </c>
      <c r="BQ90" s="1"/>
      <c r="BR90" s="20">
        <f t="shared" si="190"/>
        <v>0.39804206615396581</v>
      </c>
      <c r="BS90" s="17">
        <f t="shared" si="232"/>
        <v>0.39804206615396581</v>
      </c>
      <c r="BT90" s="17">
        <f t="shared" si="233"/>
        <v>0.39804206615396581</v>
      </c>
      <c r="BU90" s="17">
        <f t="shared" si="234"/>
        <v>0.39804206615396581</v>
      </c>
      <c r="BV90" s="17">
        <f t="shared" si="235"/>
        <v>0.39804206615396581</v>
      </c>
      <c r="BW90" s="17">
        <f t="shared" si="236"/>
        <v>0.39804206615396581</v>
      </c>
      <c r="BX90" s="17">
        <f t="shared" si="237"/>
        <v>0.39804206615396581</v>
      </c>
      <c r="BY90" s="17">
        <f t="shared" si="238"/>
        <v>0.39804206615396581</v>
      </c>
      <c r="BZ90" s="17">
        <f t="shared" si="239"/>
        <v>0.39804206615396581</v>
      </c>
      <c r="CA90" s="17">
        <f t="shared" si="240"/>
        <v>0.39804206615396581</v>
      </c>
      <c r="CB90" s="17">
        <f t="shared" si="241"/>
        <v>0.39804206615396581</v>
      </c>
      <c r="CC90" s="17">
        <f t="shared" si="242"/>
        <v>0.39804206615396581</v>
      </c>
      <c r="CD90" s="17">
        <f t="shared" si="243"/>
        <v>0.39804206615396581</v>
      </c>
      <c r="CE90" s="17">
        <f t="shared" si="244"/>
        <v>0.39804206615396581</v>
      </c>
      <c r="CF90" s="17">
        <f t="shared" si="245"/>
        <v>0.39804206615396581</v>
      </c>
      <c r="CG90" s="17">
        <f t="shared" si="246"/>
        <v>0.39804206615396581</v>
      </c>
      <c r="CH90" s="17">
        <f t="shared" si="247"/>
        <v>0.39804206615396581</v>
      </c>
      <c r="CI90" s="17">
        <f t="shared" si="248"/>
        <v>0.39804206615396581</v>
      </c>
      <c r="CJ90" s="17">
        <f t="shared" si="249"/>
        <v>0.39804206615396581</v>
      </c>
      <c r="CK90" s="17">
        <f t="shared" si="250"/>
        <v>0.39804206615396581</v>
      </c>
      <c r="CL90" s="17">
        <f t="shared" si="251"/>
        <v>0.39804206615396581</v>
      </c>
      <c r="CM90" s="17">
        <f t="shared" si="252"/>
        <v>0.39804206615396581</v>
      </c>
      <c r="CN90" s="17">
        <f t="shared" si="253"/>
        <v>0.39804206615396581</v>
      </c>
      <c r="CO90" s="17">
        <f t="shared" si="254"/>
        <v>0.39804206615396581</v>
      </c>
      <c r="CP90" s="17">
        <f t="shared" si="220"/>
        <v>0.39804206615396581</v>
      </c>
      <c r="CQ90" s="17">
        <f t="shared" si="221"/>
        <v>0.39804206615396581</v>
      </c>
      <c r="CR90" s="17">
        <f t="shared" si="222"/>
        <v>0.39804206615396581</v>
      </c>
      <c r="CS90" s="17">
        <f t="shared" si="223"/>
        <v>0.39804206615396581</v>
      </c>
      <c r="CT90" s="17">
        <f t="shared" si="224"/>
        <v>0.39804206615396581</v>
      </c>
      <c r="CU90" s="20">
        <f t="shared" si="225"/>
        <v>0.39804206615396581</v>
      </c>
      <c r="CW90" s="1"/>
      <c r="CX90" s="20">
        <f t="shared" si="131"/>
        <v>180.58738015381027</v>
      </c>
      <c r="CY90" s="17">
        <f t="shared" si="132"/>
        <v>168.54265486242323</v>
      </c>
      <c r="CZ90" s="17">
        <f t="shared" si="133"/>
        <v>156.60523535038237</v>
      </c>
      <c r="DA90" s="17">
        <f t="shared" si="134"/>
        <v>144.88037370305901</v>
      </c>
      <c r="DB90" s="17">
        <f t="shared" si="135"/>
        <v>133.46928708988793</v>
      </c>
      <c r="DC90" s="17">
        <f t="shared" si="136"/>
        <v>122.46731717002929</v>
      </c>
      <c r="DD90" s="17">
        <f t="shared" si="137"/>
        <v>111.9622899933935</v>
      </c>
      <c r="DE90" s="17">
        <f t="shared" si="138"/>
        <v>102.03312466242447</v>
      </c>
      <c r="DF90" s="17">
        <f t="shared" si="139"/>
        <v>92.74872501012652</v>
      </c>
      <c r="DG90" s="17">
        <f t="shared" si="140"/>
        <v>84.167173204338226</v>
      </c>
      <c r="DH90" s="17">
        <f t="shared" si="141"/>
        <v>76.335228645847948</v>
      </c>
      <c r="DI90" s="17">
        <f t="shared" si="142"/>
        <v>69.288120892071092</v>
      </c>
      <c r="DJ90" s="17">
        <f t="shared" si="143"/>
        <v>63.049612582016046</v>
      </c>
      <c r="DK90" s="17">
        <f t="shared" si="144"/>
        <v>57.632298226651443</v>
      </c>
      <c r="DL90" s="17">
        <f t="shared" si="145"/>
        <v>53.038097761782019</v>
      </c>
      <c r="DM90" s="17">
        <f t="shared" si="146"/>
        <v>49.258900146472641</v>
      </c>
      <c r="DN90" s="17">
        <f t="shared" si="147"/>
        <v>46.277311946848172</v>
      </c>
      <c r="DO90" s="17">
        <f t="shared" si="148"/>
        <v>44.067468429101382</v>
      </c>
      <c r="DP90" s="17">
        <f t="shared" si="149"/>
        <v>42.595869643397556</v>
      </c>
      <c r="DQ90" s="17">
        <f t="shared" si="150"/>
        <v>41.822210617220911</v>
      </c>
      <c r="DR90" s="17">
        <f t="shared" si="151"/>
        <v>41.700182333123685</v>
      </c>
      <c r="DS90" s="17">
        <f t="shared" si="152"/>
        <v>42.178227895122497</v>
      </c>
      <c r="DT90" s="17">
        <f t="shared" si="153"/>
        <v>43.200245526248437</v>
      </c>
      <c r="DU90" s="17">
        <f t="shared" si="154"/>
        <v>44.706236262132897</v>
      </c>
      <c r="DV90" s="17">
        <f t="shared" si="155"/>
        <v>46.632899063783384</v>
      </c>
      <c r="DW90" s="17">
        <f t="shared" si="156"/>
        <v>48.91417941168627</v>
      </c>
      <c r="DX90" s="17">
        <f t="shared" si="157"/>
        <v>51.481779295685236</v>
      </c>
      <c r="DY90" s="17">
        <f t="shared" si="158"/>
        <v>54.26563707613073</v>
      </c>
      <c r="DZ90" s="17">
        <f t="shared" si="159"/>
        <v>57.19438527867424</v>
      </c>
      <c r="EA90" s="20">
        <f t="shared" si="160"/>
        <v>60.195793384603427</v>
      </c>
    </row>
    <row r="91" spans="5:131" x14ac:dyDescent="0.25">
      <c r="E91" s="1"/>
      <c r="F91" s="15">
        <v>300</v>
      </c>
      <c r="G91" s="16">
        <f t="shared" si="191"/>
        <v>279.99075248592408</v>
      </c>
      <c r="H91" s="16">
        <f t="shared" si="192"/>
        <v>260.15976623117001</v>
      </c>
      <c r="I91" s="16">
        <f t="shared" si="193"/>
        <v>240.6818908048744</v>
      </c>
      <c r="J91" s="16">
        <f t="shared" si="194"/>
        <v>221.72527278961991</v>
      </c>
      <c r="K91" s="16">
        <f t="shared" si="195"/>
        <v>203.44829810209524</v>
      </c>
      <c r="L91" s="16">
        <f t="shared" si="196"/>
        <v>185.99686738580414</v>
      </c>
      <c r="M91" s="16">
        <f t="shared" si="197"/>
        <v>169.50208465650354</v>
      </c>
      <c r="N91" s="16">
        <f t="shared" si="198"/>
        <v>154.07841610714499</v>
      </c>
      <c r="O91" s="16">
        <f t="shared" si="199"/>
        <v>139.82235048648113</v>
      </c>
      <c r="P91" s="16">
        <f t="shared" si="200"/>
        <v>126.81156664573936</v>
      </c>
      <c r="Q91" s="16">
        <f t="shared" si="201"/>
        <v>115.10458953398104</v>
      </c>
      <c r="R91" s="16">
        <f t="shared" si="202"/>
        <v>104.74089473192748</v>
      </c>
      <c r="S91" s="16">
        <f t="shared" si="203"/>
        <v>95.741404816158365</v>
      </c>
      <c r="T91" s="16">
        <f t="shared" si="204"/>
        <v>88.109309271680473</v>
      </c>
      <c r="U91" s="16">
        <f t="shared" si="205"/>
        <v>81.831133667011059</v>
      </c>
      <c r="V91" s="16">
        <f t="shared" si="206"/>
        <v>76.877983235760041</v>
      </c>
      <c r="W91" s="16">
        <f t="shared" si="207"/>
        <v>73.206890301362364</v>
      </c>
      <c r="X91" s="16">
        <f t="shared" si="208"/>
        <v>70.762203217829011</v>
      </c>
      <c r="Y91" s="16">
        <f t="shared" si="209"/>
        <v>69.476965524833474</v>
      </c>
      <c r="Z91" s="16">
        <f t="shared" si="210"/>
        <v>69.274246568514428</v>
      </c>
      <c r="AA91" s="16">
        <f t="shared" si="211"/>
        <v>70.068397679613653</v>
      </c>
      <c r="AB91" s="16">
        <f t="shared" si="212"/>
        <v>71.766220025098932</v>
      </c>
      <c r="AC91" s="16">
        <f t="shared" si="213"/>
        <v>74.26804058631717</v>
      </c>
      <c r="AD91" s="16">
        <f t="shared" si="214"/>
        <v>77.468700787505384</v>
      </c>
      <c r="AE91" s="16">
        <f t="shared" si="215"/>
        <v>81.258467845358268</v>
      </c>
      <c r="AF91" s="16">
        <f t="shared" si="216"/>
        <v>85.523881987496139</v>
      </c>
      <c r="AG91" s="16">
        <f t="shared" si="217"/>
        <v>90.148553619712771</v>
      </c>
      <c r="AH91" s="16">
        <f t="shared" si="218"/>
        <v>95.013923835586709</v>
      </c>
      <c r="AI91" s="15">
        <v>100</v>
      </c>
      <c r="AK91" s="1"/>
      <c r="AL91" s="20">
        <f t="shared" si="219"/>
        <v>-1076400000</v>
      </c>
      <c r="AM91" s="17">
        <f t="shared" si="255"/>
        <v>-1004606819.9194956</v>
      </c>
      <c r="AN91" s="17">
        <f t="shared" si="256"/>
        <v>-933453241.23743784</v>
      </c>
      <c r="AO91" s="17">
        <f t="shared" si="257"/>
        <v>-863566624.2078892</v>
      </c>
      <c r="AP91" s="17">
        <f t="shared" si="258"/>
        <v>-795550278.76915622</v>
      </c>
      <c r="AQ91" s="17">
        <f t="shared" si="259"/>
        <v>-729972493.59031761</v>
      </c>
      <c r="AR91" s="17">
        <f t="shared" si="260"/>
        <v>-667356760.18026531</v>
      </c>
      <c r="AS91" s="17">
        <f t="shared" si="261"/>
        <v>-608173479.74753475</v>
      </c>
      <c r="AT91" s="17">
        <f t="shared" si="262"/>
        <v>-552833356.99243617</v>
      </c>
      <c r="AU91" s="17">
        <f t="shared" si="263"/>
        <v>-501682593.54549438</v>
      </c>
      <c r="AV91" s="17">
        <f t="shared" si="264"/>
        <v>-454999901.12491286</v>
      </c>
      <c r="AW91" s="17">
        <f t="shared" si="265"/>
        <v>-412995267.24792391</v>
      </c>
      <c r="AX91" s="17">
        <f t="shared" si="266"/>
        <v>-375810330.29815578</v>
      </c>
      <c r="AY91" s="17">
        <f t="shared" si="267"/>
        <v>-343520160.48037624</v>
      </c>
      <c r="AZ91" s="17">
        <f t="shared" si="268"/>
        <v>-316136201.66678953</v>
      </c>
      <c r="BA91" s="17">
        <f t="shared" si="269"/>
        <v>-293610107.59723562</v>
      </c>
      <c r="BB91" s="17">
        <f t="shared" si="270"/>
        <v>-275838203.84990698</v>
      </c>
      <c r="BC91" s="17">
        <f t="shared" si="271"/>
        <v>-262666322.40128815</v>
      </c>
      <c r="BD91" s="17">
        <f t="shared" si="272"/>
        <v>-253894785.14557049</v>
      </c>
      <c r="BE91" s="17">
        <f t="shared" si="273"/>
        <v>-249283352.3031024</v>
      </c>
      <c r="BF91" s="17">
        <f t="shared" si="274"/>
        <v>-248555996.68782976</v>
      </c>
      <c r="BG91" s="17">
        <f t="shared" si="275"/>
        <v>-251405410.87445378</v>
      </c>
      <c r="BH91" s="17">
        <f t="shared" si="276"/>
        <v>-257497197.45005497</v>
      </c>
      <c r="BI91" s="17">
        <f t="shared" si="277"/>
        <v>-266473729.62370601</v>
      </c>
      <c r="BJ91" s="17">
        <f t="shared" si="226"/>
        <v>-277957698.4255693</v>
      </c>
      <c r="BK91" s="17">
        <f t="shared" si="227"/>
        <v>-291555382.62914544</v>
      </c>
      <c r="BL91" s="17">
        <f t="shared" si="228"/>
        <v>-306859688.57113612</v>
      </c>
      <c r="BM91" s="17">
        <f t="shared" si="229"/>
        <v>-323453010.38752943</v>
      </c>
      <c r="BN91" s="17">
        <f t="shared" si="230"/>
        <v>-340909958.72208512</v>
      </c>
      <c r="BO91" s="20">
        <f t="shared" si="231"/>
        <v>-358800000</v>
      </c>
      <c r="BQ91" s="1"/>
      <c r="BR91" s="20">
        <f t="shared" si="190"/>
        <v>0.41517002114434032</v>
      </c>
      <c r="BS91" s="17">
        <f t="shared" si="232"/>
        <v>0.41517002114434032</v>
      </c>
      <c r="BT91" s="17">
        <f t="shared" si="233"/>
        <v>0.41517002114434032</v>
      </c>
      <c r="BU91" s="17">
        <f t="shared" si="234"/>
        <v>0.41517002114434032</v>
      </c>
      <c r="BV91" s="17">
        <f t="shared" si="235"/>
        <v>0.41517002114434032</v>
      </c>
      <c r="BW91" s="17">
        <f t="shared" si="236"/>
        <v>0.41517002114434032</v>
      </c>
      <c r="BX91" s="17">
        <f t="shared" si="237"/>
        <v>0.41517002114434032</v>
      </c>
      <c r="BY91" s="17">
        <f t="shared" si="238"/>
        <v>0.41517002114434032</v>
      </c>
      <c r="BZ91" s="17">
        <f t="shared" si="239"/>
        <v>0.41517002114434032</v>
      </c>
      <c r="CA91" s="17">
        <f t="shared" si="240"/>
        <v>0.41517002114434032</v>
      </c>
      <c r="CB91" s="17">
        <f t="shared" si="241"/>
        <v>0.41517002114434032</v>
      </c>
      <c r="CC91" s="17">
        <f t="shared" si="242"/>
        <v>0.41517002114434032</v>
      </c>
      <c r="CD91" s="17">
        <f t="shared" si="243"/>
        <v>0.41517002114434032</v>
      </c>
      <c r="CE91" s="17">
        <f t="shared" si="244"/>
        <v>0.41517002114434032</v>
      </c>
      <c r="CF91" s="17">
        <f t="shared" si="245"/>
        <v>0.41517002114434032</v>
      </c>
      <c r="CG91" s="17">
        <f t="shared" si="246"/>
        <v>0.41517002114434032</v>
      </c>
      <c r="CH91" s="17">
        <f t="shared" si="247"/>
        <v>0.41517002114434032</v>
      </c>
      <c r="CI91" s="17">
        <f t="shared" si="248"/>
        <v>0.41517002114434032</v>
      </c>
      <c r="CJ91" s="17">
        <f t="shared" si="249"/>
        <v>0.41517002114434032</v>
      </c>
      <c r="CK91" s="17">
        <f t="shared" si="250"/>
        <v>0.41517002114434032</v>
      </c>
      <c r="CL91" s="17">
        <f t="shared" si="251"/>
        <v>0.41517002114434032</v>
      </c>
      <c r="CM91" s="17">
        <f t="shared" si="252"/>
        <v>0.41517002114434032</v>
      </c>
      <c r="CN91" s="17">
        <f t="shared" si="253"/>
        <v>0.41517002114434032</v>
      </c>
      <c r="CO91" s="17">
        <f t="shared" si="254"/>
        <v>0.41517002114434032</v>
      </c>
      <c r="CP91" s="17">
        <f t="shared" si="220"/>
        <v>0.41517002114434032</v>
      </c>
      <c r="CQ91" s="17">
        <f t="shared" si="221"/>
        <v>0.41517002114434032</v>
      </c>
      <c r="CR91" s="17">
        <f t="shared" si="222"/>
        <v>0.41517002114434032</v>
      </c>
      <c r="CS91" s="17">
        <f t="shared" si="223"/>
        <v>0.41517002114434032</v>
      </c>
      <c r="CT91" s="17">
        <f t="shared" si="224"/>
        <v>0.41517002114434032</v>
      </c>
      <c r="CU91" s="20">
        <f t="shared" si="225"/>
        <v>0.41517002114434032</v>
      </c>
      <c r="CW91" s="1"/>
      <c r="CX91" s="20">
        <f t="shared" si="131"/>
        <v>175.44899365669789</v>
      </c>
      <c r="CY91" s="17">
        <f t="shared" si="132"/>
        <v>163.74698585612322</v>
      </c>
      <c r="CZ91" s="17">
        <f t="shared" si="133"/>
        <v>152.1492305840685</v>
      </c>
      <c r="DA91" s="17">
        <f t="shared" si="134"/>
        <v>140.75798511035487</v>
      </c>
      <c r="DB91" s="17">
        <f t="shared" si="135"/>
        <v>129.67158659731876</v>
      </c>
      <c r="DC91" s="17">
        <f t="shared" si="136"/>
        <v>118.98266387726827</v>
      </c>
      <c r="DD91" s="17">
        <f t="shared" si="137"/>
        <v>108.77654402045876</v>
      </c>
      <c r="DE91" s="17">
        <f t="shared" si="138"/>
        <v>99.129900585653189</v>
      </c>
      <c r="DF91" s="17">
        <f t="shared" si="139"/>
        <v>90.109676834055122</v>
      </c>
      <c r="DG91" s="17">
        <f t="shared" si="140"/>
        <v>81.77230227855739</v>
      </c>
      <c r="DH91" s="17">
        <f t="shared" si="141"/>
        <v>74.163205840080821</v>
      </c>
      <c r="DI91" s="17">
        <f t="shared" si="142"/>
        <v>67.316614663347508</v>
      </c>
      <c r="DJ91" s="17">
        <f t="shared" si="143"/>
        <v>61.255615251396023</v>
      </c>
      <c r="DK91" s="17">
        <f t="shared" si="144"/>
        <v>55.992443754245045</v>
      </c>
      <c r="DL91" s="17">
        <f t="shared" si="145"/>
        <v>51.528965478343665</v>
      </c>
      <c r="DM91" s="17">
        <f t="shared" si="146"/>
        <v>47.857300172212724</v>
      </c>
      <c r="DN91" s="17">
        <f t="shared" si="147"/>
        <v>44.960549310235294</v>
      </c>
      <c r="DO91" s="17">
        <f t="shared" si="148"/>
        <v>42.813584107034337</v>
      </c>
      <c r="DP91" s="17">
        <f t="shared" si="149"/>
        <v>41.383857811662828</v>
      </c>
      <c r="DQ91" s="17">
        <f t="shared" si="150"/>
        <v>40.632212278843738</v>
      </c>
      <c r="DR91" s="17">
        <f t="shared" si="151"/>
        <v>40.513656155906041</v>
      </c>
      <c r="DS91" s="17">
        <f t="shared" si="152"/>
        <v>40.978099533418401</v>
      </c>
      <c r="DT91" s="17">
        <f t="shared" si="153"/>
        <v>41.971036939829226</v>
      </c>
      <c r="DU91" s="17">
        <f t="shared" si="154"/>
        <v>43.43417660574714</v>
      </c>
      <c r="DV91" s="17">
        <f t="shared" si="155"/>
        <v>45.306018643532191</v>
      </c>
      <c r="DW91" s="17">
        <f t="shared" si="156"/>
        <v>47.522388031844173</v>
      </c>
      <c r="DX91" s="17">
        <f t="shared" si="157"/>
        <v>50.016930094401296</v>
      </c>
      <c r="DY91" s="17">
        <f t="shared" si="158"/>
        <v>52.721576707284925</v>
      </c>
      <c r="DZ91" s="17">
        <f t="shared" si="159"/>
        <v>55.566991067759432</v>
      </c>
      <c r="EA91" s="20">
        <f t="shared" si="160"/>
        <v>58.482997885565958</v>
      </c>
    </row>
    <row r="92" spans="5:131" x14ac:dyDescent="0.25">
      <c r="E92" s="1"/>
      <c r="F92" s="15">
        <v>300</v>
      </c>
      <c r="G92" s="16">
        <f t="shared" si="191"/>
        <v>279.99075248592408</v>
      </c>
      <c r="H92" s="16">
        <f t="shared" si="192"/>
        <v>260.15976623116995</v>
      </c>
      <c r="I92" s="16">
        <f t="shared" si="193"/>
        <v>240.68189080487437</v>
      </c>
      <c r="J92" s="16">
        <f t="shared" si="194"/>
        <v>221.72527278961985</v>
      </c>
      <c r="K92" s="16">
        <f t="shared" si="195"/>
        <v>203.44829810209518</v>
      </c>
      <c r="L92" s="16">
        <f t="shared" si="196"/>
        <v>185.99686738580414</v>
      </c>
      <c r="M92" s="16">
        <f t="shared" si="197"/>
        <v>169.50208465650354</v>
      </c>
      <c r="N92" s="16">
        <f t="shared" si="198"/>
        <v>154.07841610714496</v>
      </c>
      <c r="O92" s="16">
        <f t="shared" si="199"/>
        <v>139.82235048648113</v>
      </c>
      <c r="P92" s="16">
        <f t="shared" si="200"/>
        <v>126.81156664573935</v>
      </c>
      <c r="Q92" s="16">
        <f t="shared" si="201"/>
        <v>115.10458953398103</v>
      </c>
      <c r="R92" s="16">
        <f t="shared" si="202"/>
        <v>104.74089473192747</v>
      </c>
      <c r="S92" s="16">
        <f t="shared" si="203"/>
        <v>95.741404816158365</v>
      </c>
      <c r="T92" s="16">
        <f t="shared" si="204"/>
        <v>88.109309271680473</v>
      </c>
      <c r="U92" s="16">
        <f t="shared" si="205"/>
        <v>81.831133667011045</v>
      </c>
      <c r="V92" s="16">
        <f t="shared" si="206"/>
        <v>76.877983235760027</v>
      </c>
      <c r="W92" s="16">
        <f t="shared" si="207"/>
        <v>73.206890301362364</v>
      </c>
      <c r="X92" s="16">
        <f t="shared" si="208"/>
        <v>70.762203217829011</v>
      </c>
      <c r="Y92" s="16">
        <f t="shared" si="209"/>
        <v>69.47696552483346</v>
      </c>
      <c r="Z92" s="16">
        <f t="shared" si="210"/>
        <v>69.274246568514428</v>
      </c>
      <c r="AA92" s="16">
        <f t="shared" si="211"/>
        <v>70.068397679613653</v>
      </c>
      <c r="AB92" s="16">
        <f t="shared" si="212"/>
        <v>71.766220025098932</v>
      </c>
      <c r="AC92" s="16">
        <f t="shared" si="213"/>
        <v>74.268040586317142</v>
      </c>
      <c r="AD92" s="16">
        <f t="shared" si="214"/>
        <v>77.468700787505369</v>
      </c>
      <c r="AE92" s="16">
        <f t="shared" si="215"/>
        <v>81.258467845358268</v>
      </c>
      <c r="AF92" s="16">
        <f t="shared" si="216"/>
        <v>85.523881987496139</v>
      </c>
      <c r="AG92" s="16">
        <f t="shared" si="217"/>
        <v>90.148553619712771</v>
      </c>
      <c r="AH92" s="16">
        <f t="shared" si="218"/>
        <v>95.013923835586709</v>
      </c>
      <c r="AI92" s="15">
        <v>100</v>
      </c>
      <c r="AK92" s="1"/>
      <c r="AL92" s="20">
        <f t="shared" si="219"/>
        <v>-1076400000</v>
      </c>
      <c r="AM92" s="17">
        <f t="shared" si="255"/>
        <v>-1004606819.9194956</v>
      </c>
      <c r="AN92" s="17">
        <f t="shared" si="256"/>
        <v>-933453241.23743784</v>
      </c>
      <c r="AO92" s="17">
        <f t="shared" si="257"/>
        <v>-863566624.2078892</v>
      </c>
      <c r="AP92" s="17">
        <f t="shared" si="258"/>
        <v>-795550278.76915598</v>
      </c>
      <c r="AQ92" s="17">
        <f t="shared" si="259"/>
        <v>-729972493.59031749</v>
      </c>
      <c r="AR92" s="17">
        <f t="shared" si="260"/>
        <v>-667356760.18026519</v>
      </c>
      <c r="AS92" s="17">
        <f t="shared" si="261"/>
        <v>-608173479.74753463</v>
      </c>
      <c r="AT92" s="17">
        <f t="shared" si="262"/>
        <v>-552833356.99243605</v>
      </c>
      <c r="AU92" s="17">
        <f t="shared" si="263"/>
        <v>-501682593.5454942</v>
      </c>
      <c r="AV92" s="17">
        <f t="shared" si="264"/>
        <v>-454999901.12491274</v>
      </c>
      <c r="AW92" s="17">
        <f t="shared" si="265"/>
        <v>-412995267.24792385</v>
      </c>
      <c r="AX92" s="17">
        <f t="shared" si="266"/>
        <v>-375810330.29815573</v>
      </c>
      <c r="AY92" s="17">
        <f t="shared" si="267"/>
        <v>-343520160.48037618</v>
      </c>
      <c r="AZ92" s="17">
        <f t="shared" si="268"/>
        <v>-316136201.66678953</v>
      </c>
      <c r="BA92" s="17">
        <f t="shared" si="269"/>
        <v>-293610107.59723562</v>
      </c>
      <c r="BB92" s="17">
        <f t="shared" si="270"/>
        <v>-275838203.84990698</v>
      </c>
      <c r="BC92" s="17">
        <f t="shared" si="271"/>
        <v>-262666322.40128815</v>
      </c>
      <c r="BD92" s="17">
        <f t="shared" si="272"/>
        <v>-253894785.14557049</v>
      </c>
      <c r="BE92" s="17">
        <f t="shared" si="273"/>
        <v>-249283352.3031024</v>
      </c>
      <c r="BF92" s="17">
        <f t="shared" si="274"/>
        <v>-248555996.68782976</v>
      </c>
      <c r="BG92" s="17">
        <f t="shared" si="275"/>
        <v>-251405410.87445378</v>
      </c>
      <c r="BH92" s="17">
        <f t="shared" si="276"/>
        <v>-257497197.45005497</v>
      </c>
      <c r="BI92" s="17">
        <f t="shared" si="277"/>
        <v>-266473729.62370589</v>
      </c>
      <c r="BJ92" s="17">
        <f t="shared" si="226"/>
        <v>-277957698.42556924</v>
      </c>
      <c r="BK92" s="17">
        <f t="shared" si="227"/>
        <v>-291555382.62914544</v>
      </c>
      <c r="BL92" s="17">
        <f t="shared" si="228"/>
        <v>-306859688.57113612</v>
      </c>
      <c r="BM92" s="17">
        <f t="shared" si="229"/>
        <v>-323453010.38752943</v>
      </c>
      <c r="BN92" s="17">
        <f t="shared" si="230"/>
        <v>-340909958.72208512</v>
      </c>
      <c r="BO92" s="20">
        <f t="shared" si="231"/>
        <v>-358800000</v>
      </c>
      <c r="BQ92" s="1"/>
      <c r="BR92" s="20">
        <f t="shared" si="190"/>
        <v>0.51881554595928436</v>
      </c>
      <c r="BS92" s="17">
        <f t="shared" si="232"/>
        <v>0.51881554595928436</v>
      </c>
      <c r="BT92" s="17">
        <f t="shared" si="233"/>
        <v>0.51881554595928436</v>
      </c>
      <c r="BU92" s="17">
        <f t="shared" si="234"/>
        <v>0.51881554595928436</v>
      </c>
      <c r="BV92" s="17">
        <f t="shared" si="235"/>
        <v>0.51881554595928436</v>
      </c>
      <c r="BW92" s="17">
        <f t="shared" si="236"/>
        <v>0.51881554595928436</v>
      </c>
      <c r="BX92" s="17">
        <f t="shared" si="237"/>
        <v>0.51881554595928436</v>
      </c>
      <c r="BY92" s="17">
        <f t="shared" si="238"/>
        <v>0.51881554595928436</v>
      </c>
      <c r="BZ92" s="17">
        <f t="shared" si="239"/>
        <v>0.51881554595928436</v>
      </c>
      <c r="CA92" s="17">
        <f t="shared" si="240"/>
        <v>0.51881554595928436</v>
      </c>
      <c r="CB92" s="17">
        <f t="shared" si="241"/>
        <v>0.51881554595928436</v>
      </c>
      <c r="CC92" s="17">
        <f t="shared" si="242"/>
        <v>0.51881554595928436</v>
      </c>
      <c r="CD92" s="17">
        <f t="shared" si="243"/>
        <v>0.51881554595928436</v>
      </c>
      <c r="CE92" s="17">
        <f t="shared" si="244"/>
        <v>0.51881554595928436</v>
      </c>
      <c r="CF92" s="17">
        <f t="shared" si="245"/>
        <v>0.51881554595928436</v>
      </c>
      <c r="CG92" s="17">
        <f t="shared" si="246"/>
        <v>0.51881554595928436</v>
      </c>
      <c r="CH92" s="17">
        <f t="shared" si="247"/>
        <v>0.51881554595928436</v>
      </c>
      <c r="CI92" s="17">
        <f t="shared" si="248"/>
        <v>0.51881554595928436</v>
      </c>
      <c r="CJ92" s="17">
        <f t="shared" si="249"/>
        <v>0.51881554595928436</v>
      </c>
      <c r="CK92" s="17">
        <f t="shared" si="250"/>
        <v>0.51881554595928436</v>
      </c>
      <c r="CL92" s="17">
        <f t="shared" si="251"/>
        <v>0.51881554595928436</v>
      </c>
      <c r="CM92" s="17">
        <f t="shared" si="252"/>
        <v>0.51881554595928436</v>
      </c>
      <c r="CN92" s="17">
        <f t="shared" si="253"/>
        <v>0.51881554595928436</v>
      </c>
      <c r="CO92" s="17">
        <f t="shared" si="254"/>
        <v>0.51881554595928436</v>
      </c>
      <c r="CP92" s="17">
        <f t="shared" si="220"/>
        <v>0.51881554595928436</v>
      </c>
      <c r="CQ92" s="17">
        <f t="shared" si="221"/>
        <v>0.51881554595928436</v>
      </c>
      <c r="CR92" s="17">
        <f t="shared" si="222"/>
        <v>0.51881554595928436</v>
      </c>
      <c r="CS92" s="17">
        <f t="shared" si="223"/>
        <v>0.51881554595928436</v>
      </c>
      <c r="CT92" s="17">
        <f t="shared" si="224"/>
        <v>0.51881554595928436</v>
      </c>
      <c r="CU92" s="20">
        <f t="shared" si="225"/>
        <v>0.51881554595928436</v>
      </c>
      <c r="CW92" s="1"/>
      <c r="CX92" s="20">
        <f>(CX93*$C$22-AL92)/($C$21-$C$22*BR93)</f>
        <v>144.3553362122147</v>
      </c>
      <c r="CY92" s="17">
        <f t="shared" si="132"/>
        <v>134.72719737138851</v>
      </c>
      <c r="CZ92" s="17">
        <f t="shared" si="133"/>
        <v>125.18483507730572</v>
      </c>
      <c r="DA92" s="17">
        <f t="shared" si="134"/>
        <v>115.8123842244306</v>
      </c>
      <c r="DB92" s="17">
        <f t="shared" si="135"/>
        <v>106.69075433430196</v>
      </c>
      <c r="DC92" s="17">
        <f t="shared" si="136"/>
        <v>97.896158247769421</v>
      </c>
      <c r="DD92" s="17">
        <f t="shared" si="137"/>
        <v>89.498801086321535</v>
      </c>
      <c r="DE92" s="17">
        <f t="shared" si="138"/>
        <v>81.561768064202809</v>
      </c>
      <c r="DF92" s="17">
        <f t="shared" si="139"/>
        <v>74.140138533974735</v>
      </c>
      <c r="DG92" s="17">
        <f t="shared" si="140"/>
        <v>67.280341381526995</v>
      </c>
      <c r="DH92" s="17">
        <f t="shared" si="141"/>
        <v>61.019754462477906</v>
      </c>
      <c r="DI92" s="17">
        <f t="shared" si="142"/>
        <v>55.38653907248932</v>
      </c>
      <c r="DJ92" s="17">
        <f t="shared" si="143"/>
        <v>50.399690247318581</v>
      </c>
      <c r="DK92" s="17">
        <f t="shared" si="144"/>
        <v>46.069275605554296</v>
      </c>
      <c r="DL92" s="17">
        <f t="shared" si="145"/>
        <v>42.396829877798126</v>
      </c>
      <c r="DM92" s="17">
        <f t="shared" si="146"/>
        <v>39.37586937709353</v>
      </c>
      <c r="DN92" s="17">
        <f t="shared" si="147"/>
        <v>36.992490391050474</v>
      </c>
      <c r="DO92" s="17">
        <f t="shared" si="148"/>
        <v>35.226017541679603</v>
      </c>
      <c r="DP92" s="17">
        <f t="shared" si="149"/>
        <v>34.04967212208922</v>
      </c>
      <c r="DQ92" s="17">
        <f t="shared" si="150"/>
        <v>33.4312357244726</v>
      </c>
      <c r="DR92" s="17">
        <f t="shared" si="151"/>
        <v>33.333690514152529</v>
      </c>
      <c r="DS92" s="17">
        <f t="shared" si="152"/>
        <v>33.715823682972641</v>
      </c>
      <c r="DT92" s="17">
        <f t="shared" si="153"/>
        <v>34.532789401343102</v>
      </c>
      <c r="DU92" s="17">
        <f t="shared" si="154"/>
        <v>35.736626562200719</v>
      </c>
      <c r="DV92" s="17">
        <f t="shared" si="155"/>
        <v>37.276734493679321</v>
      </c>
      <c r="DW92" s="17">
        <f t="shared" si="156"/>
        <v>39.10031148635376</v>
      </c>
      <c r="DX92" s="17">
        <f t="shared" si="157"/>
        <v>41.15276246159592</v>
      </c>
      <c r="DY92" s="17">
        <f t="shared" si="158"/>
        <v>43.378082556061671</v>
      </c>
      <c r="DZ92" s="17">
        <f t="shared" si="159"/>
        <v>45.719223067092926</v>
      </c>
      <c r="EA92" s="20">
        <f t="shared" si="160"/>
        <v>48.118445404071558</v>
      </c>
    </row>
    <row r="93" spans="5:131" x14ac:dyDescent="0.25">
      <c r="E93" s="1"/>
      <c r="F93" s="15">
        <v>300</v>
      </c>
      <c r="G93" s="21">
        <f t="shared" ref="G93" si="278">BS93*G92+CY93</f>
        <v>279.99075248592408</v>
      </c>
      <c r="H93" s="21">
        <f t="shared" ref="H93" si="279">BT93*H92+CZ93</f>
        <v>260.15976623116995</v>
      </c>
      <c r="I93" s="21">
        <f t="shared" ref="I93" si="280">BU93*I92+DA93</f>
        <v>240.68189080487437</v>
      </c>
      <c r="J93" s="21">
        <f t="shared" ref="J93" si="281">BV93*J92+DB93</f>
        <v>221.72527278961985</v>
      </c>
      <c r="K93" s="21">
        <f t="shared" ref="K93" si="282">BW93*K92+DC93</f>
        <v>203.44829810209518</v>
      </c>
      <c r="L93" s="21">
        <f t="shared" ref="L93" si="283">BX93*L92+DD93</f>
        <v>185.99686738580414</v>
      </c>
      <c r="M93" s="21">
        <f t="shared" ref="M93" si="284">BY93*M92+DE93</f>
        <v>169.50208465650354</v>
      </c>
      <c r="N93" s="21">
        <f t="shared" ref="N93" si="285">BZ93*N92+DF93</f>
        <v>154.07841610714496</v>
      </c>
      <c r="O93" s="21">
        <f t="shared" ref="O93" si="286">CA93*O92+DG93</f>
        <v>139.82235048648113</v>
      </c>
      <c r="P93" s="21">
        <f t="shared" ref="P93" si="287">CB93*P92+DH93</f>
        <v>126.81156664573935</v>
      </c>
      <c r="Q93" s="21">
        <f t="shared" ref="Q93" si="288">CC93*Q92+DI93</f>
        <v>115.10458953398103</v>
      </c>
      <c r="R93" s="21">
        <f t="shared" ref="R93" si="289">CD93*R92+DJ93</f>
        <v>104.74089473192747</v>
      </c>
      <c r="S93" s="21">
        <f t="shared" ref="S93" si="290">CE93*S92+DK93</f>
        <v>95.741404816158365</v>
      </c>
      <c r="T93" s="21">
        <f t="shared" ref="T93" si="291">CF93*T92+DL93</f>
        <v>88.109309271680473</v>
      </c>
      <c r="U93" s="21">
        <f t="shared" ref="U93" si="292">CG93*U92+DM93</f>
        <v>81.831133667011045</v>
      </c>
      <c r="V93" s="21">
        <f t="shared" ref="V93" si="293">CH93*V92+DN93</f>
        <v>76.877983235760027</v>
      </c>
      <c r="W93" s="21">
        <f t="shared" ref="W93" si="294">CI93*W92+DO93</f>
        <v>73.206890301362364</v>
      </c>
      <c r="X93" s="21">
        <f t="shared" ref="X93" si="295">CJ93*X92+DP93</f>
        <v>70.762203217829011</v>
      </c>
      <c r="Y93" s="21">
        <f t="shared" ref="Y93" si="296">CK93*Y92+DQ93</f>
        <v>69.47696552483346</v>
      </c>
      <c r="Z93" s="21">
        <f t="shared" ref="Z93" si="297">CL93*Z92+DR93</f>
        <v>69.274246568514428</v>
      </c>
      <c r="AA93" s="21">
        <f t="shared" ref="AA93" si="298">CM93*AA92+DS93</f>
        <v>70.068397679613653</v>
      </c>
      <c r="AB93" s="21">
        <f t="shared" ref="AB93" si="299">CN93*AB92+DT93</f>
        <v>71.766220025098932</v>
      </c>
      <c r="AC93" s="21">
        <f t="shared" ref="AC93" si="300">CO93*AC92+DU93</f>
        <v>74.268040586317142</v>
      </c>
      <c r="AD93" s="21">
        <f t="shared" ref="AD93" si="301">CP93*AD92+DV93</f>
        <v>77.468700787505369</v>
      </c>
      <c r="AE93" s="21">
        <f t="shared" ref="AE93" si="302">CQ93*AE92+DW93</f>
        <v>81.258467845358268</v>
      </c>
      <c r="AF93" s="21">
        <f t="shared" ref="AF93" si="303">CR93*AF92+DX93</f>
        <v>85.523881987496139</v>
      </c>
      <c r="AG93" s="21">
        <f t="shared" ref="AG93" si="304">CS93*AG92+DY93</f>
        <v>90.148553619712771</v>
      </c>
      <c r="AH93" s="21">
        <f t="shared" ref="AH93" si="305">CT93*AH92+DZ93</f>
        <v>95.013923835586709</v>
      </c>
      <c r="AI93" s="15">
        <v>100</v>
      </c>
      <c r="AK93" s="1"/>
      <c r="AL93" s="20">
        <f t="shared" si="219"/>
        <v>-1076400000</v>
      </c>
      <c r="AM93" s="20">
        <f t="shared" si="255"/>
        <v>-1004606819.9194956</v>
      </c>
      <c r="AN93" s="20">
        <f t="shared" si="256"/>
        <v>-933453241.23743784</v>
      </c>
      <c r="AO93" s="20">
        <f t="shared" si="257"/>
        <v>-863566624.2078892</v>
      </c>
      <c r="AP93" s="20">
        <f t="shared" si="258"/>
        <v>-795550278.76915598</v>
      </c>
      <c r="AQ93" s="20">
        <f t="shared" si="259"/>
        <v>-729972493.59031749</v>
      </c>
      <c r="AR93" s="20">
        <f t="shared" si="260"/>
        <v>-667356760.18026519</v>
      </c>
      <c r="AS93" s="20">
        <f t="shared" si="261"/>
        <v>-608173479.74753463</v>
      </c>
      <c r="AT93" s="20">
        <f t="shared" si="262"/>
        <v>-552833356.99243605</v>
      </c>
      <c r="AU93" s="20">
        <f t="shared" si="263"/>
        <v>-501682593.5454942</v>
      </c>
      <c r="AV93" s="20">
        <f t="shared" si="264"/>
        <v>-454999901.12491274</v>
      </c>
      <c r="AW93" s="20">
        <f t="shared" si="265"/>
        <v>-412995267.24792385</v>
      </c>
      <c r="AX93" s="20">
        <f t="shared" si="266"/>
        <v>-375810330.29815573</v>
      </c>
      <c r="AY93" s="20">
        <f t="shared" si="267"/>
        <v>-343520160.48037618</v>
      </c>
      <c r="AZ93" s="20">
        <f t="shared" si="268"/>
        <v>-316136201.66678953</v>
      </c>
      <c r="BA93" s="20">
        <f t="shared" si="269"/>
        <v>-293610107.59723562</v>
      </c>
      <c r="BB93" s="20">
        <f t="shared" si="270"/>
        <v>-275838203.84990698</v>
      </c>
      <c r="BC93" s="20">
        <f t="shared" si="271"/>
        <v>-262666322.40128815</v>
      </c>
      <c r="BD93" s="20">
        <f t="shared" si="272"/>
        <v>-253894785.14557049</v>
      </c>
      <c r="BE93" s="20">
        <f t="shared" si="273"/>
        <v>-249283352.3031024</v>
      </c>
      <c r="BF93" s="20">
        <f t="shared" si="274"/>
        <v>-248555996.68782976</v>
      </c>
      <c r="BG93" s="20">
        <f t="shared" si="275"/>
        <v>-251405410.87445378</v>
      </c>
      <c r="BH93" s="20">
        <f t="shared" si="276"/>
        <v>-257497197.45005497</v>
      </c>
      <c r="BI93" s="20">
        <f t="shared" si="277"/>
        <v>-266473729.62370589</v>
      </c>
      <c r="BJ93" s="20">
        <f t="shared" si="226"/>
        <v>-277957698.42556924</v>
      </c>
      <c r="BK93" s="20">
        <f t="shared" si="227"/>
        <v>-291555382.62914544</v>
      </c>
      <c r="BL93" s="20">
        <f t="shared" si="228"/>
        <v>-306859688.57113612</v>
      </c>
      <c r="BM93" s="20">
        <f t="shared" si="229"/>
        <v>-323453010.38752943</v>
      </c>
      <c r="BN93" s="20">
        <f t="shared" si="230"/>
        <v>-340909958.72208512</v>
      </c>
      <c r="BO93" s="20">
        <f t="shared" si="231"/>
        <v>-358800000</v>
      </c>
      <c r="BQ93" s="1"/>
      <c r="BR93" s="20">
        <v>1</v>
      </c>
      <c r="BS93" s="20">
        <v>1</v>
      </c>
      <c r="BT93" s="20">
        <v>1</v>
      </c>
      <c r="BU93" s="20">
        <v>1</v>
      </c>
      <c r="BV93" s="20">
        <v>1</v>
      </c>
      <c r="BW93" s="20">
        <v>1</v>
      </c>
      <c r="BX93" s="20">
        <v>1</v>
      </c>
      <c r="BY93" s="20">
        <v>1</v>
      </c>
      <c r="BZ93" s="20">
        <v>1</v>
      </c>
      <c r="CA93" s="20">
        <v>1</v>
      </c>
      <c r="CB93" s="20">
        <v>1</v>
      </c>
      <c r="CC93" s="20">
        <v>1</v>
      </c>
      <c r="CD93" s="20">
        <v>1</v>
      </c>
      <c r="CE93" s="20">
        <v>1</v>
      </c>
      <c r="CF93" s="20">
        <v>1</v>
      </c>
      <c r="CG93" s="20">
        <v>1</v>
      </c>
      <c r="CH93" s="20">
        <v>1</v>
      </c>
      <c r="CI93" s="20">
        <v>1</v>
      </c>
      <c r="CJ93" s="20">
        <v>1</v>
      </c>
      <c r="CK93" s="20">
        <v>1</v>
      </c>
      <c r="CL93" s="20">
        <v>1</v>
      </c>
      <c r="CM93" s="20">
        <v>1</v>
      </c>
      <c r="CN93" s="20">
        <v>1</v>
      </c>
      <c r="CO93" s="20">
        <v>1</v>
      </c>
      <c r="CP93" s="20">
        <v>1</v>
      </c>
      <c r="CQ93" s="20">
        <v>1</v>
      </c>
      <c r="CR93" s="20">
        <v>1</v>
      </c>
      <c r="CS93" s="20">
        <v>1</v>
      </c>
      <c r="CT93" s="20">
        <v>1</v>
      </c>
      <c r="CU93" s="20">
        <v>1</v>
      </c>
      <c r="CW93" s="1"/>
      <c r="CX93" s="20">
        <v>0</v>
      </c>
      <c r="CY93" s="20">
        <v>0</v>
      </c>
      <c r="CZ93" s="20">
        <v>0</v>
      </c>
      <c r="DA93" s="20">
        <v>0</v>
      </c>
      <c r="DB93" s="20">
        <v>0</v>
      </c>
      <c r="DC93" s="20">
        <v>0</v>
      </c>
      <c r="DD93" s="20">
        <v>0</v>
      </c>
      <c r="DE93" s="20">
        <v>0</v>
      </c>
      <c r="DF93" s="20">
        <v>0</v>
      </c>
      <c r="DG93" s="20">
        <v>0</v>
      </c>
      <c r="DH93" s="20">
        <v>0</v>
      </c>
      <c r="DI93" s="20">
        <v>0</v>
      </c>
      <c r="DJ93" s="20">
        <v>0</v>
      </c>
      <c r="DK93" s="20">
        <v>0</v>
      </c>
      <c r="DL93" s="20">
        <v>0</v>
      </c>
      <c r="DM93" s="20">
        <v>0</v>
      </c>
      <c r="DN93" s="20">
        <v>0</v>
      </c>
      <c r="DO93" s="20">
        <v>0</v>
      </c>
      <c r="DP93" s="20">
        <v>0</v>
      </c>
      <c r="DQ93" s="20">
        <v>0</v>
      </c>
      <c r="DR93" s="20">
        <v>0</v>
      </c>
      <c r="DS93" s="20">
        <v>0</v>
      </c>
      <c r="DT93" s="20">
        <v>0</v>
      </c>
      <c r="DU93" s="20">
        <v>0</v>
      </c>
      <c r="DV93" s="20">
        <v>0</v>
      </c>
      <c r="DW93" s="20">
        <v>0</v>
      </c>
      <c r="DX93" s="20">
        <v>0</v>
      </c>
      <c r="DY93" s="20">
        <v>0</v>
      </c>
      <c r="DZ93" s="20">
        <v>0</v>
      </c>
      <c r="EA93" s="20">
        <v>0</v>
      </c>
    </row>
  </sheetData>
  <conditionalFormatting sqref="F2:AI31">
    <cfRule type="colorScale" priority="2">
      <colorScale>
        <cfvo type="min"/>
        <cfvo type="max"/>
        <color theme="8" tint="-0.249977111117893"/>
        <color rgb="FFFF0000"/>
      </colorScale>
    </cfRule>
    <cfRule type="colorScale" priority="1">
      <colorScale>
        <cfvo type="min"/>
        <cfvo type="max"/>
        <color theme="8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21"/>
  <sheetViews>
    <sheetView zoomScale="70" zoomScaleNormal="70" workbookViewId="0">
      <selection activeCell="C24" sqref="C24"/>
    </sheetView>
  </sheetViews>
  <sheetFormatPr defaultRowHeight="15" x14ac:dyDescent="0.25"/>
  <sheetData>
    <row r="3" spans="2:36" x14ac:dyDescent="0.25">
      <c r="B3" t="s">
        <v>0</v>
      </c>
      <c r="C3">
        <v>0.1</v>
      </c>
    </row>
    <row r="4" spans="2:36" x14ac:dyDescent="0.25">
      <c r="B4" t="s">
        <v>2</v>
      </c>
      <c r="C4">
        <f>C3/30</f>
        <v>3.3333333333333335E-3</v>
      </c>
    </row>
    <row r="5" spans="2:36" x14ac:dyDescent="0.25">
      <c r="B5" t="s">
        <v>4</v>
      </c>
      <c r="C5" s="22">
        <v>60</v>
      </c>
    </row>
    <row r="6" spans="2:36" x14ac:dyDescent="0.25">
      <c r="B6" t="s">
        <v>5</v>
      </c>
      <c r="C6">
        <v>2</v>
      </c>
      <c r="D6">
        <v>62</v>
      </c>
    </row>
    <row r="9" spans="2:36" x14ac:dyDescent="0.25">
      <c r="B9" t="s">
        <v>6</v>
      </c>
      <c r="C9">
        <v>460</v>
      </c>
    </row>
    <row r="10" spans="2:36" x14ac:dyDescent="0.25">
      <c r="B10" t="s">
        <v>27</v>
      </c>
      <c r="C10">
        <v>7800</v>
      </c>
    </row>
    <row r="11" spans="2:36" x14ac:dyDescent="0.25">
      <c r="B11" t="s">
        <v>28</v>
      </c>
      <c r="C11">
        <v>46</v>
      </c>
      <c r="F11">
        <v>1</v>
      </c>
      <c r="G11">
        <v>2</v>
      </c>
      <c r="H11">
        <v>3</v>
      </c>
      <c r="I11">
        <v>4</v>
      </c>
      <c r="J11">
        <v>5</v>
      </c>
      <c r="K11">
        <v>6</v>
      </c>
      <c r="L11">
        <v>7</v>
      </c>
      <c r="M11">
        <v>8</v>
      </c>
      <c r="N11">
        <v>9</v>
      </c>
      <c r="O11">
        <v>10</v>
      </c>
      <c r="P11">
        <v>11</v>
      </c>
      <c r="Q11">
        <v>12</v>
      </c>
      <c r="R11">
        <v>13</v>
      </c>
      <c r="S11">
        <v>14</v>
      </c>
      <c r="T11">
        <v>15</v>
      </c>
      <c r="U11">
        <v>16</v>
      </c>
      <c r="V11">
        <v>17</v>
      </c>
      <c r="W11">
        <v>18</v>
      </c>
      <c r="X11">
        <v>19</v>
      </c>
      <c r="Y11">
        <v>20</v>
      </c>
      <c r="Z11">
        <v>21</v>
      </c>
      <c r="AA11">
        <v>22</v>
      </c>
      <c r="AB11">
        <v>23</v>
      </c>
      <c r="AC11">
        <v>24</v>
      </c>
      <c r="AD11">
        <v>25</v>
      </c>
      <c r="AE11">
        <v>26</v>
      </c>
      <c r="AF11">
        <v>27</v>
      </c>
      <c r="AG11">
        <v>28</v>
      </c>
      <c r="AH11">
        <v>29</v>
      </c>
      <c r="AI11">
        <v>30</v>
      </c>
      <c r="AJ11">
        <v>31</v>
      </c>
    </row>
    <row r="12" spans="2:36" x14ac:dyDescent="0.25">
      <c r="E12" t="s">
        <v>0</v>
      </c>
      <c r="F12">
        <v>0</v>
      </c>
      <c r="G12">
        <f>F12+$C$4</f>
        <v>3.3333333333333335E-3</v>
      </c>
      <c r="H12">
        <f>G12+$C$4</f>
        <v>6.6666666666666671E-3</v>
      </c>
      <c r="I12">
        <f t="shared" ref="I12:AJ12" si="0">H12+$C$4</f>
        <v>0.01</v>
      </c>
      <c r="J12">
        <f t="shared" si="0"/>
        <v>1.3333333333333334E-2</v>
      </c>
      <c r="K12">
        <f t="shared" si="0"/>
        <v>1.6666666666666666E-2</v>
      </c>
      <c r="L12">
        <f t="shared" si="0"/>
        <v>0.02</v>
      </c>
      <c r="M12">
        <f t="shared" si="0"/>
        <v>2.3333333333333334E-2</v>
      </c>
      <c r="N12">
        <f t="shared" si="0"/>
        <v>2.6666666666666668E-2</v>
      </c>
      <c r="O12">
        <f t="shared" si="0"/>
        <v>3.0000000000000002E-2</v>
      </c>
      <c r="P12">
        <f t="shared" si="0"/>
        <v>3.3333333333333333E-2</v>
      </c>
      <c r="Q12">
        <f t="shared" si="0"/>
        <v>3.6666666666666667E-2</v>
      </c>
      <c r="R12">
        <f t="shared" si="0"/>
        <v>0.04</v>
      </c>
      <c r="S12">
        <f t="shared" si="0"/>
        <v>4.3333333333333335E-2</v>
      </c>
      <c r="T12">
        <f t="shared" si="0"/>
        <v>4.6666666666666669E-2</v>
      </c>
      <c r="U12">
        <f t="shared" si="0"/>
        <v>0.05</v>
      </c>
      <c r="V12">
        <f t="shared" si="0"/>
        <v>5.3333333333333337E-2</v>
      </c>
      <c r="W12">
        <f t="shared" si="0"/>
        <v>5.6666666666666671E-2</v>
      </c>
      <c r="X12">
        <f t="shared" si="0"/>
        <v>6.0000000000000005E-2</v>
      </c>
      <c r="Y12">
        <f t="shared" si="0"/>
        <v>6.3333333333333339E-2</v>
      </c>
      <c r="Z12">
        <f t="shared" si="0"/>
        <v>6.6666666666666666E-2</v>
      </c>
      <c r="AA12">
        <f t="shared" si="0"/>
        <v>6.9999999999999993E-2</v>
      </c>
      <c r="AB12">
        <f t="shared" si="0"/>
        <v>7.333333333333332E-2</v>
      </c>
      <c r="AC12">
        <f t="shared" si="0"/>
        <v>7.6666666666666647E-2</v>
      </c>
      <c r="AD12">
        <f t="shared" si="0"/>
        <v>7.9999999999999974E-2</v>
      </c>
      <c r="AE12">
        <f t="shared" si="0"/>
        <v>8.3333333333333301E-2</v>
      </c>
      <c r="AF12">
        <f t="shared" si="0"/>
        <v>8.6666666666666628E-2</v>
      </c>
      <c r="AG12">
        <f t="shared" si="0"/>
        <v>8.9999999999999955E-2</v>
      </c>
      <c r="AH12">
        <f t="shared" si="0"/>
        <v>9.3333333333333282E-2</v>
      </c>
      <c r="AI12">
        <f t="shared" si="0"/>
        <v>9.6666666666666609E-2</v>
      </c>
      <c r="AJ12">
        <f t="shared" si="0"/>
        <v>9.9999999999999936E-2</v>
      </c>
    </row>
    <row r="13" spans="2:36" x14ac:dyDescent="0.25">
      <c r="E13" t="s">
        <v>29</v>
      </c>
      <c r="F13">
        <f>C14</f>
        <v>300</v>
      </c>
      <c r="G13">
        <v>287.78651391337382</v>
      </c>
      <c r="H13">
        <v>275.63482062273789</v>
      </c>
      <c r="I13">
        <v>263.60599097252884</v>
      </c>
      <c r="J13">
        <v>251.75966181000607</v>
      </c>
      <c r="K13">
        <v>240.15334355257158</v>
      </c>
      <c r="L13">
        <v>228.84175668365134</v>
      </c>
      <c r="M13">
        <v>217.87620592147221</v>
      </c>
      <c r="N13">
        <v>207.30400007207652</v>
      </c>
      <c r="O13">
        <v>197.16792470619404</v>
      </c>
      <c r="P13">
        <v>187.505773815905</v>
      </c>
      <c r="Q13">
        <v>178.3499455408091</v>
      </c>
      <c r="R13">
        <v>169.72710593549812</v>
      </c>
      <c r="S13">
        <v>161.65792361153422</v>
      </c>
      <c r="T13">
        <v>154.15687695782105</v>
      </c>
      <c r="U13">
        <v>147.23213455100921</v>
      </c>
      <c r="V13">
        <v>140.88550833704534</v>
      </c>
      <c r="W13">
        <v>135.11247821684788</v>
      </c>
      <c r="X13">
        <v>129.90228581954779</v>
      </c>
      <c r="Y13">
        <v>125.23809450706759</v>
      </c>
      <c r="Z13">
        <v>121.09721203033135</v>
      </c>
      <c r="AA13">
        <v>117.45137175152391</v>
      </c>
      <c r="AB13">
        <v>114.26706795539684</v>
      </c>
      <c r="AC13">
        <v>111.50594048842004</v>
      </c>
      <c r="AD13">
        <v>109.12520377693116</v>
      </c>
      <c r="AE13">
        <v>107.07811517097929</v>
      </c>
      <c r="AF13">
        <v>105.31447752406157</v>
      </c>
      <c r="AG13">
        <v>103.78117093416301</v>
      </c>
      <c r="AH13">
        <v>102.42270862200851</v>
      </c>
      <c r="AI13">
        <v>101.18181199244519</v>
      </c>
      <c r="AJ13">
        <f>C15</f>
        <v>100</v>
      </c>
    </row>
    <row r="14" spans="2:36" x14ac:dyDescent="0.25">
      <c r="B14" t="s">
        <v>30</v>
      </c>
      <c r="C14">
        <v>300</v>
      </c>
    </row>
    <row r="15" spans="2:36" x14ac:dyDescent="0.25">
      <c r="B15" t="s">
        <v>10</v>
      </c>
      <c r="C15">
        <v>100</v>
      </c>
      <c r="E15" t="s">
        <v>31</v>
      </c>
      <c r="F15">
        <f>F19*G15+F20</f>
        <v>300</v>
      </c>
      <c r="G15">
        <f t="shared" ref="G15:AI15" si="1">G19*H15+G20</f>
        <v>287.92538444113097</v>
      </c>
      <c r="H15">
        <f t="shared" si="1"/>
        <v>275.91094611095673</v>
      </c>
      <c r="I15">
        <f t="shared" si="1"/>
        <v>264.01616215901061</v>
      </c>
      <c r="J15">
        <f t="shared" si="1"/>
        <v>252.29911905453994</v>
      </c>
      <c r="K15">
        <f t="shared" si="1"/>
        <v>240.81584075603399</v>
      </c>
      <c r="L15">
        <f t="shared" si="1"/>
        <v>229.61964457902843</v>
      </c>
      <c r="M15">
        <f t="shared" si="1"/>
        <v>218.76053315668634</v>
      </c>
      <c r="N15">
        <f t="shared" si="1"/>
        <v>208.28463020293702</v>
      </c>
      <c r="O15">
        <f t="shared" si="1"/>
        <v>198.2336669725606</v>
      </c>
      <c r="P15">
        <f t="shared" si="1"/>
        <v>188.64452539094296</v>
      </c>
      <c r="Q15">
        <f t="shared" si="1"/>
        <v>179.54884282517509</v>
      </c>
      <c r="R15">
        <f t="shared" si="1"/>
        <v>170.97268241596578</v>
      </c>
      <c r="S15">
        <f t="shared" si="1"/>
        <v>162.93627181495913</v>
      </c>
      <c r="T15">
        <f t="shared" si="1"/>
        <v>155.45381210210326</v>
      </c>
      <c r="U15">
        <f t="shared" si="1"/>
        <v>148.53335761843636</v>
      </c>
      <c r="V15">
        <f t="shared" si="1"/>
        <v>142.17676646398786</v>
      </c>
      <c r="W15">
        <f t="shared" si="1"/>
        <v>136.37972049788115</v>
      </c>
      <c r="X15">
        <f t="shared" si="1"/>
        <v>131.13181285355549</v>
      </c>
      <c r="Y15">
        <f t="shared" si="1"/>
        <v>126.41670025729987</v>
      </c>
      <c r="Z15">
        <f t="shared" si="1"/>
        <v>122.21231681947822</v>
      </c>
      <c r="AA15">
        <f t="shared" si="1"/>
        <v>118.49114545695355</v>
      </c>
      <c r="AB15">
        <f t="shared" si="1"/>
        <v>115.22054270011506</v>
      </c>
      <c r="AC15">
        <f t="shared" si="1"/>
        <v>112.36311233265444</v>
      </c>
      <c r="AD15">
        <f t="shared" si="1"/>
        <v>109.87712309769537</v>
      </c>
      <c r="AE15">
        <f t="shared" si="1"/>
        <v>107.71696556840082</v>
      </c>
      <c r="AF15">
        <f t="shared" si="1"/>
        <v>105.83364321132225</v>
      </c>
      <c r="AG15">
        <f t="shared" si="1"/>
        <v>104.17529265205667</v>
      </c>
      <c r="AH15">
        <f t="shared" si="1"/>
        <v>102.687728170545</v>
      </c>
      <c r="AI15">
        <f t="shared" si="1"/>
        <v>101.31500549339914</v>
      </c>
      <c r="AJ15">
        <f>C15</f>
        <v>100</v>
      </c>
    </row>
    <row r="17" spans="2:35" x14ac:dyDescent="0.25">
      <c r="B17" t="s">
        <v>11</v>
      </c>
      <c r="C17">
        <f>C11/(C4^2)</f>
        <v>4139999.9999999991</v>
      </c>
      <c r="E17" t="s">
        <v>32</v>
      </c>
    </row>
    <row r="18" spans="2:35" x14ac:dyDescent="0.25">
      <c r="B18" t="s">
        <v>12</v>
      </c>
      <c r="C18">
        <f>(2*C11)/(C4^2)+(C10*C9)/C6</f>
        <v>10073999.999999998</v>
      </c>
    </row>
    <row r="19" spans="2:35" x14ac:dyDescent="0.25">
      <c r="B19" t="s">
        <v>13</v>
      </c>
      <c r="C19">
        <f>C17</f>
        <v>4139999.9999999991</v>
      </c>
      <c r="E19" t="s">
        <v>33</v>
      </c>
      <c r="F19">
        <v>0</v>
      </c>
      <c r="G19">
        <f>$C$17/($C$18-$C$19*F19)</f>
        <v>0.41095890410958902</v>
      </c>
      <c r="H19">
        <f t="shared" ref="H19:AI19" si="2">$C$17/($C$18-$C$19*G19)</f>
        <v>0.49446827726349057</v>
      </c>
      <c r="I19">
        <f t="shared" si="2"/>
        <v>0.51576565211146774</v>
      </c>
      <c r="J19">
        <f t="shared" si="2"/>
        <v>0.52149397895713612</v>
      </c>
      <c r="K19">
        <f t="shared" si="2"/>
        <v>0.52305649933975962</v>
      </c>
      <c r="L19">
        <f t="shared" si="2"/>
        <v>0.52348433598989241</v>
      </c>
      <c r="M19">
        <f t="shared" si="2"/>
        <v>0.52360160483419294</v>
      </c>
      <c r="N19">
        <f t="shared" si="2"/>
        <v>0.52363375707534621</v>
      </c>
      <c r="O19">
        <f t="shared" si="2"/>
        <v>0.52364257312109652</v>
      </c>
      <c r="P19">
        <f t="shared" si="2"/>
        <v>0.5236449905056163</v>
      </c>
      <c r="Q19">
        <f t="shared" si="2"/>
        <v>0.52364565336314417</v>
      </c>
      <c r="R19">
        <f t="shared" si="2"/>
        <v>0.52364583512190344</v>
      </c>
      <c r="S19">
        <f t="shared" si="2"/>
        <v>0.52364588496106157</v>
      </c>
      <c r="T19">
        <f t="shared" si="2"/>
        <v>0.52364589862720901</v>
      </c>
      <c r="U19">
        <f t="shared" si="2"/>
        <v>0.52364590237453534</v>
      </c>
      <c r="V19">
        <f t="shared" si="2"/>
        <v>0.52364590340207107</v>
      </c>
      <c r="W19">
        <f t="shared" si="2"/>
        <v>0.52364590368382657</v>
      </c>
      <c r="X19">
        <f t="shared" si="2"/>
        <v>0.52364590376108522</v>
      </c>
      <c r="Y19">
        <f t="shared" si="2"/>
        <v>0.52364590378227005</v>
      </c>
      <c r="Z19">
        <f t="shared" si="2"/>
        <v>0.52364590378807896</v>
      </c>
      <c r="AA19">
        <f t="shared" si="2"/>
        <v>0.5236459037896718</v>
      </c>
      <c r="AB19">
        <f t="shared" si="2"/>
        <v>0.52364590379010867</v>
      </c>
      <c r="AC19">
        <f t="shared" si="2"/>
        <v>0.52364590379022846</v>
      </c>
      <c r="AD19">
        <f t="shared" si="2"/>
        <v>0.52364590379026121</v>
      </c>
      <c r="AE19">
        <f t="shared" si="2"/>
        <v>0.52364590379027021</v>
      </c>
      <c r="AF19">
        <f t="shared" si="2"/>
        <v>0.52364590379027265</v>
      </c>
      <c r="AG19">
        <f t="shared" si="2"/>
        <v>0.52364590379027331</v>
      </c>
      <c r="AH19">
        <f t="shared" si="2"/>
        <v>0.52364590379027354</v>
      </c>
      <c r="AI19">
        <f t="shared" si="2"/>
        <v>0.52364590379027354</v>
      </c>
    </row>
    <row r="20" spans="2:35" x14ac:dyDescent="0.25">
      <c r="E20" t="s">
        <v>34</v>
      </c>
      <c r="F20">
        <f>C14</f>
        <v>300</v>
      </c>
      <c r="G20">
        <f>(F20*$C$19-G21)/($C$18-$C$19*F19)</f>
        <v>174.53732439553232</v>
      </c>
      <c r="H20">
        <f t="shared" ref="H20:AI20" si="3">(G20*$C$19-H21)/($C$18-$C$19*G19)</f>
        <v>145.36332923847235</v>
      </c>
      <c r="I20">
        <f t="shared" si="3"/>
        <v>133.88894249269697</v>
      </c>
      <c r="J20">
        <f t="shared" si="3"/>
        <v>126.71510806276771</v>
      </c>
      <c r="K20">
        <f t="shared" si="3"/>
        <v>120.71179328288756</v>
      </c>
      <c r="L20">
        <f t="shared" si="3"/>
        <v>115.10193213870565</v>
      </c>
      <c r="M20">
        <f t="shared" si="3"/>
        <v>109.7023665201321</v>
      </c>
      <c r="N20">
        <f t="shared" si="3"/>
        <v>104.48279038727215</v>
      </c>
      <c r="O20">
        <f t="shared" si="3"/>
        <v>99.451362291639199</v>
      </c>
      <c r="P20">
        <f t="shared" si="3"/>
        <v>94.624673294459754</v>
      </c>
      <c r="Q20">
        <f t="shared" si="3"/>
        <v>90.01974083421733</v>
      </c>
      <c r="R20">
        <f t="shared" si="3"/>
        <v>85.651782289772044</v>
      </c>
      <c r="S20">
        <f t="shared" si="3"/>
        <v>81.533522806182674</v>
      </c>
      <c r="T20">
        <f t="shared" si="3"/>
        <v>77.674928575880557</v>
      </c>
      <c r="U20">
        <f t="shared" si="3"/>
        <v>74.08307644670785</v>
      </c>
      <c r="V20">
        <f t="shared" si="3"/>
        <v>70.762084518152946</v>
      </c>
      <c r="W20">
        <f t="shared" si="3"/>
        <v>67.713083854482662</v>
      </c>
      <c r="X20">
        <f t="shared" si="3"/>
        <v>64.934225596827488</v>
      </c>
      <c r="Y20">
        <f t="shared" si="3"/>
        <v>62.420721163039069</v>
      </c>
      <c r="Z20">
        <f t="shared" si="3"/>
        <v>60.164913865787042</v>
      </c>
      <c r="AA20">
        <f t="shared" si="3"/>
        <v>58.156380239615324</v>
      </c>
      <c r="AB20">
        <f t="shared" si="3"/>
        <v>56.382059190012725</v>
      </c>
      <c r="AC20">
        <f t="shared" si="3"/>
        <v>54.826406902291559</v>
      </c>
      <c r="AD20">
        <f t="shared" si="3"/>
        <v>53.471575309085686</v>
      </c>
      <c r="AE20">
        <f t="shared" si="3"/>
        <v>52.297611817590983</v>
      </c>
      <c r="AF20">
        <f t="shared" si="3"/>
        <v>51.2826779379199</v>
      </c>
      <c r="AG20">
        <f t="shared" si="3"/>
        <v>50.40328442602172</v>
      </c>
      <c r="AH20">
        <f t="shared" si="3"/>
        <v>49.634540551437475</v>
      </c>
      <c r="AI20">
        <f t="shared" si="3"/>
        <v>48.950415114371786</v>
      </c>
    </row>
    <row r="21" spans="2:35" x14ac:dyDescent="0.25">
      <c r="E21" t="s">
        <v>35</v>
      </c>
      <c r="F21">
        <f>-(($C$10*$C$9)/$C$6)*F13</f>
        <v>-538200000</v>
      </c>
      <c r="G21">
        <f>-(($C$10*$C$9)/$C$6)*G13</f>
        <v>-516289005.96059263</v>
      </c>
      <c r="H21">
        <f>-(($C$10*$C$9)/$C$6)*H13</f>
        <v>-494488868.19719177</v>
      </c>
      <c r="I21">
        <f t="shared" ref="I21:AI21" si="4">-(($C$10*$C$9)/$C$6)*I13</f>
        <v>-472909147.80471677</v>
      </c>
      <c r="J21">
        <f t="shared" si="4"/>
        <v>-451656833.28715086</v>
      </c>
      <c r="K21">
        <f t="shared" si="4"/>
        <v>-430835098.33331341</v>
      </c>
      <c r="L21">
        <f t="shared" si="4"/>
        <v>-410542111.49047053</v>
      </c>
      <c r="M21">
        <f t="shared" si="4"/>
        <v>-390869913.42312115</v>
      </c>
      <c r="N21">
        <f t="shared" si="4"/>
        <v>-371903376.1293053</v>
      </c>
      <c r="O21">
        <f t="shared" si="4"/>
        <v>-353719256.92291212</v>
      </c>
      <c r="P21">
        <f t="shared" si="4"/>
        <v>-336385358.22573358</v>
      </c>
      <c r="Q21">
        <f t="shared" si="4"/>
        <v>-319959802.30021155</v>
      </c>
      <c r="R21">
        <f t="shared" si="4"/>
        <v>-304490428.04828364</v>
      </c>
      <c r="S21">
        <f t="shared" si="4"/>
        <v>-290014314.95909238</v>
      </c>
      <c r="T21">
        <f t="shared" si="4"/>
        <v>-276557437.26233095</v>
      </c>
      <c r="U21">
        <f t="shared" si="4"/>
        <v>-264134449.38451052</v>
      </c>
      <c r="V21">
        <f t="shared" si="4"/>
        <v>-252748601.95665935</v>
      </c>
      <c r="W21">
        <f t="shared" si="4"/>
        <v>-242391785.9210251</v>
      </c>
      <c r="X21">
        <f t="shared" si="4"/>
        <v>-233044700.76026872</v>
      </c>
      <c r="Y21">
        <f t="shared" si="4"/>
        <v>-224677141.54567924</v>
      </c>
      <c r="Z21">
        <f t="shared" si="4"/>
        <v>-217248398.38241443</v>
      </c>
      <c r="AA21">
        <f t="shared" si="4"/>
        <v>-210707760.92223388</v>
      </c>
      <c r="AB21">
        <f t="shared" si="4"/>
        <v>-204995119.91198194</v>
      </c>
      <c r="AC21">
        <f t="shared" si="4"/>
        <v>-200041657.23622555</v>
      </c>
      <c r="AD21">
        <f t="shared" si="4"/>
        <v>-195770615.57581449</v>
      </c>
      <c r="AE21">
        <f t="shared" si="4"/>
        <v>-192098138.61673683</v>
      </c>
      <c r="AF21">
        <f t="shared" si="4"/>
        <v>-188934172.67816645</v>
      </c>
      <c r="AG21">
        <f t="shared" si="4"/>
        <v>-186183420.65588844</v>
      </c>
      <c r="AH21">
        <f t="shared" si="4"/>
        <v>-183746339.26788327</v>
      </c>
      <c r="AI21">
        <f t="shared" si="4"/>
        <v>-181520170.71444666</v>
      </c>
    </row>
  </sheetData>
  <conditionalFormatting sqref="F13:AJ13">
    <cfRule type="colorScale" priority="1">
      <colorScale>
        <cfvo type="min"/>
        <cfvo type="max"/>
        <color theme="4"/>
        <color rgb="FFFF0000"/>
      </colorScale>
    </cfRule>
    <cfRule type="colorScale" priority="2">
      <colorScale>
        <cfvo type="min"/>
        <cfvo type="max"/>
        <color rgb="FFFF0000"/>
        <color theme="4"/>
      </colorScale>
    </cfRule>
    <cfRule type="colorScale" priority="3">
      <colorScale>
        <cfvo type="min"/>
        <cfvo type="max"/>
        <color rgb="FFFF0000"/>
        <color theme="4"/>
      </colorScale>
    </cfRule>
    <cfRule type="colorScale" priority="4">
      <colorScale>
        <cfvo type="min"/>
        <cfvo type="max"/>
        <color rgb="FF002060"/>
        <color rgb="FFFF0000"/>
      </colorScale>
    </cfRule>
    <cfRule type="colorScale" priority="5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схема_2</vt:lpstr>
      <vt:lpstr>Неявная схема_1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2021-11-08T09:52:53Z</dcterms:created>
  <dcterms:modified xsi:type="dcterms:W3CDTF">2021-11-08T11:48:24Z</dcterms:modified>
</cp:coreProperties>
</file>